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h\Documents\post-grad\financial-analyst-portfolio\mfr-analytics-fpa-budget-variance-analysis\"/>
    </mc:Choice>
  </mc:AlternateContent>
  <xr:revisionPtr revIDLastSave="0" documentId="13_ncr:1_{CD1EF418-B515-4B4D-948E-60D690E50D8E}" xr6:coauthVersionLast="47" xr6:coauthVersionMax="47" xr10:uidLastSave="{00000000-0000-0000-0000-000000000000}"/>
  <bookViews>
    <workbookView xWindow="-110" yWindow="-110" windowWidth="22780" windowHeight="14540" firstSheet="3" activeTab="8" xr2:uid="{333BC5A3-4C00-4023-A4DF-787AFCE41AA4}"/>
  </bookViews>
  <sheets>
    <sheet name="assumptions" sheetId="1" r:id="rId1"/>
    <sheet name="2024_budget" sheetId="2" r:id="rId2"/>
    <sheet name="2025_budget" sheetId="3" r:id="rId3"/>
    <sheet name="2026_budget" sheetId="4" r:id="rId4"/>
    <sheet name="2024_actual" sheetId="5" r:id="rId5"/>
    <sheet name="2025_actual" sheetId="6" r:id="rId6"/>
    <sheet name="2026_actual" sheetId="7" r:id="rId7"/>
    <sheet name="variance_analysis" sheetId="8" r:id="rId8"/>
    <sheet name="tableau_data" sheetId="9" r:id="rId9"/>
    <sheet name="check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0" l="1"/>
  <c r="C10" i="10"/>
  <c r="E10" i="10" s="1"/>
  <c r="E9" i="10"/>
  <c r="D9" i="10"/>
  <c r="C9" i="10"/>
  <c r="E8" i="10"/>
  <c r="D8" i="10"/>
  <c r="C8" i="10"/>
  <c r="D7" i="10"/>
  <c r="C7" i="10"/>
  <c r="E7" i="10" s="1"/>
  <c r="D6" i="10"/>
  <c r="C6" i="10"/>
  <c r="E6" i="10" s="1"/>
  <c r="E5" i="10"/>
  <c r="D5" i="10"/>
  <c r="C5" i="10"/>
  <c r="E4" i="10"/>
  <c r="C4" i="10"/>
  <c r="C3" i="10"/>
  <c r="E3" i="10" s="1"/>
  <c r="C2" i="10"/>
  <c r="E2" i="10" s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2" i="9"/>
  <c r="F2" i="9" a="1"/>
  <c r="F2" i="9" s="1"/>
  <c r="H325" i="9"/>
  <c r="G10" i="9" a="1"/>
  <c r="G10" i="9"/>
  <c r="G11" i="9" a="1"/>
  <c r="G11" i="9" s="1"/>
  <c r="G12" i="9" a="1"/>
  <c r="G12" i="9" s="1"/>
  <c r="G13" i="9" a="1"/>
  <c r="G13" i="9"/>
  <c r="G14" i="9" a="1"/>
  <c r="G14" i="9"/>
  <c r="G15" i="9" a="1"/>
  <c r="G15" i="9"/>
  <c r="H15" i="9" s="1"/>
  <c r="G16" i="9" a="1"/>
  <c r="G16" i="9"/>
  <c r="G17" i="9" a="1"/>
  <c r="G17" i="9" s="1"/>
  <c r="G18" i="9" a="1"/>
  <c r="G18" i="9" s="1"/>
  <c r="G19" i="9" a="1"/>
  <c r="G19" i="9"/>
  <c r="G20" i="9" a="1"/>
  <c r="G20" i="9"/>
  <c r="G21" i="9" a="1"/>
  <c r="G21" i="9"/>
  <c r="G22" i="9" a="1"/>
  <c r="G22" i="9" s="1"/>
  <c r="H22" i="9" s="1"/>
  <c r="G23" i="9" a="1"/>
  <c r="G23" i="9" s="1"/>
  <c r="G24" i="9" a="1"/>
  <c r="G24" i="9" s="1"/>
  <c r="G25" i="9" a="1"/>
  <c r="G25" i="9"/>
  <c r="G26" i="9" a="1"/>
  <c r="G26" i="9" s="1"/>
  <c r="G27" i="9" a="1"/>
  <c r="G27" i="9"/>
  <c r="G28" i="9" a="1"/>
  <c r="G28" i="9" s="1"/>
  <c r="G29" i="9" a="1"/>
  <c r="G29" i="9" s="1"/>
  <c r="G30" i="9" a="1"/>
  <c r="G30" i="9" s="1"/>
  <c r="G31" i="9" a="1"/>
  <c r="G31" i="9"/>
  <c r="H31" i="9" s="1"/>
  <c r="G32" i="9" a="1"/>
  <c r="G32" i="9"/>
  <c r="H32" i="9" s="1"/>
  <c r="G33" i="9" a="1"/>
  <c r="G33" i="9" s="1"/>
  <c r="J33" i="9" s="1"/>
  <c r="G34" i="9" a="1"/>
  <c r="G34" i="9" s="1"/>
  <c r="J34" i="9" s="1"/>
  <c r="G35" i="9" a="1"/>
  <c r="G35" i="9" s="1"/>
  <c r="G36" i="9" a="1"/>
  <c r="G36" i="9" s="1"/>
  <c r="G37" i="9" a="1"/>
  <c r="G37" i="9"/>
  <c r="G38" i="9" a="1"/>
  <c r="G38" i="9"/>
  <c r="G39" i="9" a="1"/>
  <c r="G39" i="9"/>
  <c r="H39" i="9" s="1"/>
  <c r="G40" i="9" a="1"/>
  <c r="G40" i="9" s="1"/>
  <c r="J40" i="9" s="1"/>
  <c r="G41" i="9" a="1"/>
  <c r="G41" i="9" s="1"/>
  <c r="G42" i="9" a="1"/>
  <c r="G42" i="9" s="1"/>
  <c r="G43" i="9" a="1"/>
  <c r="G43" i="9"/>
  <c r="G44" i="9" a="1"/>
  <c r="G44" i="9"/>
  <c r="G45" i="9" a="1"/>
  <c r="G45" i="9"/>
  <c r="G46" i="9" a="1"/>
  <c r="G46" i="9" s="1"/>
  <c r="G47" i="9" a="1"/>
  <c r="G47" i="9" s="1"/>
  <c r="G48" i="9" a="1"/>
  <c r="G48" i="9" s="1"/>
  <c r="G49" i="9" a="1"/>
  <c r="G49" i="9"/>
  <c r="G50" i="9" a="1"/>
  <c r="G50" i="9" s="1"/>
  <c r="G51" i="9" a="1"/>
  <c r="G51" i="9"/>
  <c r="G52" i="9" a="1"/>
  <c r="G52" i="9" s="1"/>
  <c r="H52" i="9" s="1"/>
  <c r="G53" i="9" a="1"/>
  <c r="G53" i="9" s="1"/>
  <c r="G54" i="9" a="1"/>
  <c r="G54" i="9" s="1"/>
  <c r="H54" i="9" s="1"/>
  <c r="G55" i="9" a="1"/>
  <c r="G55" i="9"/>
  <c r="G56" i="9" a="1"/>
  <c r="G56" i="9"/>
  <c r="J56" i="9" s="1"/>
  <c r="G57" i="9" a="1"/>
  <c r="G57" i="9" s="1"/>
  <c r="G58" i="9" a="1"/>
  <c r="G58" i="9" s="1"/>
  <c r="G59" i="9" a="1"/>
  <c r="G59" i="9" s="1"/>
  <c r="G60" i="9" a="1"/>
  <c r="G60" i="9" s="1"/>
  <c r="G61" i="9" a="1"/>
  <c r="G61" i="9"/>
  <c r="G62" i="9" a="1"/>
  <c r="G62" i="9"/>
  <c r="J62" i="9" s="1"/>
  <c r="G63" i="9" a="1"/>
  <c r="G63" i="9"/>
  <c r="G64" i="9" a="1"/>
  <c r="G64" i="9" s="1"/>
  <c r="G65" i="9" a="1"/>
  <c r="G65" i="9" s="1"/>
  <c r="G66" i="9" a="1"/>
  <c r="G66" i="9" s="1"/>
  <c r="G67" i="9" a="1"/>
  <c r="G67" i="9"/>
  <c r="G68" i="9" a="1"/>
  <c r="G68" i="9"/>
  <c r="G69" i="9" a="1"/>
  <c r="G69" i="9"/>
  <c r="G70" i="9" a="1"/>
  <c r="G70" i="9" s="1"/>
  <c r="G71" i="9" a="1"/>
  <c r="G71" i="9" s="1"/>
  <c r="G72" i="9" a="1"/>
  <c r="G72" i="9" s="1"/>
  <c r="G73" i="9" a="1"/>
  <c r="G73" i="9"/>
  <c r="G74" i="9" a="1"/>
  <c r="G74" i="9" s="1"/>
  <c r="G75" i="9" a="1"/>
  <c r="G75" i="9"/>
  <c r="G76" i="9" a="1"/>
  <c r="G76" i="9" s="1"/>
  <c r="G77" i="9" a="1"/>
  <c r="G77" i="9" s="1"/>
  <c r="G78" i="9" a="1"/>
  <c r="G78" i="9" s="1"/>
  <c r="G79" i="9" a="1"/>
  <c r="G79" i="9"/>
  <c r="G80" i="9" a="1"/>
  <c r="G80" i="9"/>
  <c r="G81" i="9" a="1"/>
  <c r="G81" i="9" s="1"/>
  <c r="H81" i="9" s="1"/>
  <c r="G82" i="9" a="1"/>
  <c r="G82" i="9" s="1"/>
  <c r="G83" i="9" a="1"/>
  <c r="G83" i="9" s="1"/>
  <c r="G84" i="9" a="1"/>
  <c r="G84" i="9" s="1"/>
  <c r="G85" i="9" a="1"/>
  <c r="G85" i="9"/>
  <c r="J85" i="9" s="1"/>
  <c r="G86" i="9" a="1"/>
  <c r="G86" i="9"/>
  <c r="G87" i="9" a="1"/>
  <c r="G87" i="9"/>
  <c r="J87" i="9" s="1"/>
  <c r="G88" i="9" a="1"/>
  <c r="G88" i="9" s="1"/>
  <c r="G89" i="9" a="1"/>
  <c r="G89" i="9" s="1"/>
  <c r="G90" i="9" a="1"/>
  <c r="G90" i="9" s="1"/>
  <c r="G91" i="9" a="1"/>
  <c r="G91" i="9"/>
  <c r="G92" i="9" a="1"/>
  <c r="G92" i="9"/>
  <c r="J92" i="9" s="1"/>
  <c r="G93" i="9" a="1"/>
  <c r="G93" i="9"/>
  <c r="G94" i="9" a="1"/>
  <c r="G94" i="9" s="1"/>
  <c r="J94" i="9" s="1"/>
  <c r="G95" i="9" a="1"/>
  <c r="G95" i="9" s="1"/>
  <c r="G96" i="9" a="1"/>
  <c r="G96" i="9" s="1"/>
  <c r="G97" i="9" a="1"/>
  <c r="G97" i="9"/>
  <c r="G98" i="9" a="1"/>
  <c r="G98" i="9" s="1"/>
  <c r="G99" i="9" a="1"/>
  <c r="G99" i="9"/>
  <c r="G100" i="9" a="1"/>
  <c r="G100" i="9" s="1"/>
  <c r="J100" i="9" s="1"/>
  <c r="G101" i="9" a="1"/>
  <c r="G101" i="9" s="1"/>
  <c r="G102" i="9" a="1"/>
  <c r="G102" i="9" s="1"/>
  <c r="G103" i="9" a="1"/>
  <c r="G103" i="9"/>
  <c r="G104" i="9" a="1"/>
  <c r="G104" i="9"/>
  <c r="G105" i="9" a="1"/>
  <c r="G105" i="9" s="1"/>
  <c r="J105" i="9" s="1"/>
  <c r="G106" i="9" a="1"/>
  <c r="G106" i="9" s="1"/>
  <c r="G107" i="9" a="1"/>
  <c r="G107" i="9" s="1"/>
  <c r="G108" i="9" a="1"/>
  <c r="G108" i="9" s="1"/>
  <c r="G109" i="9" a="1"/>
  <c r="G109" i="9"/>
  <c r="J109" i="9" s="1"/>
  <c r="G110" i="9" a="1"/>
  <c r="G110" i="9"/>
  <c r="G111" i="9" a="1"/>
  <c r="G111" i="9"/>
  <c r="G112" i="9" a="1"/>
  <c r="G112" i="9" s="1"/>
  <c r="J112" i="9" s="1"/>
  <c r="G113" i="9" a="1"/>
  <c r="G113" i="9" s="1"/>
  <c r="G114" i="9" a="1"/>
  <c r="G114" i="9" s="1"/>
  <c r="G115" i="9" a="1"/>
  <c r="G115" i="9"/>
  <c r="G116" i="9" a="1"/>
  <c r="G116" i="9"/>
  <c r="G117" i="9" a="1"/>
  <c r="G117" i="9"/>
  <c r="G118" i="9" a="1"/>
  <c r="G118" i="9" s="1"/>
  <c r="G119" i="9" a="1"/>
  <c r="G119" i="9" s="1"/>
  <c r="G120" i="9" a="1"/>
  <c r="G120" i="9" s="1"/>
  <c r="G121" i="9" a="1"/>
  <c r="G121" i="9" s="1"/>
  <c r="G122" i="9" a="1"/>
  <c r="G122" i="9" s="1"/>
  <c r="G123" i="9" a="1"/>
  <c r="G123" i="9"/>
  <c r="G124" i="9" a="1"/>
  <c r="G124" i="9" s="1"/>
  <c r="G125" i="9" a="1"/>
  <c r="G125" i="9" s="1"/>
  <c r="G126" i="9" a="1"/>
  <c r="G126" i="9" s="1"/>
  <c r="G127" i="9" a="1"/>
  <c r="G127" i="9"/>
  <c r="G128" i="9" a="1"/>
  <c r="G128" i="9"/>
  <c r="J128" i="9" s="1"/>
  <c r="G129" i="9" a="1"/>
  <c r="G129" i="9" s="1"/>
  <c r="G130" i="9" a="1"/>
  <c r="G130" i="9" s="1"/>
  <c r="G131" i="9" a="1"/>
  <c r="G131" i="9" s="1"/>
  <c r="G132" i="9" a="1"/>
  <c r="G132" i="9" s="1"/>
  <c r="G133" i="9" a="1"/>
  <c r="G133" i="9"/>
  <c r="G134" i="9" a="1"/>
  <c r="G134" i="9"/>
  <c r="H134" i="9" s="1"/>
  <c r="G135" i="9" a="1"/>
  <c r="G135" i="9"/>
  <c r="J135" i="9" s="1"/>
  <c r="G136" i="9" a="1"/>
  <c r="G136" i="9" s="1"/>
  <c r="J136" i="9" s="1"/>
  <c r="G137" i="9" a="1"/>
  <c r="G137" i="9" s="1"/>
  <c r="G138" i="9" a="1"/>
  <c r="G138" i="9" s="1"/>
  <c r="G139" i="9" a="1"/>
  <c r="G139" i="9"/>
  <c r="G140" i="9" a="1"/>
  <c r="G140" i="9"/>
  <c r="G141" i="9" a="1"/>
  <c r="G141" i="9"/>
  <c r="H141" i="9" s="1"/>
  <c r="G142" i="9" a="1"/>
  <c r="G142" i="9" s="1"/>
  <c r="J142" i="9" s="1"/>
  <c r="G143" i="9" a="1"/>
  <c r="G143" i="9" s="1"/>
  <c r="G144" i="9" a="1"/>
  <c r="G144" i="9" s="1"/>
  <c r="G145" i="9" a="1"/>
  <c r="G145" i="9" s="1"/>
  <c r="G146" i="9" a="1"/>
  <c r="G146" i="9" s="1"/>
  <c r="G147" i="9" a="1"/>
  <c r="G147" i="9"/>
  <c r="G148" i="9" a="1"/>
  <c r="G148" i="9" s="1"/>
  <c r="G149" i="9" a="1"/>
  <c r="G149" i="9" s="1"/>
  <c r="G150" i="9" a="1"/>
  <c r="G150" i="9" s="1"/>
  <c r="G151" i="9" a="1"/>
  <c r="G151" i="9"/>
  <c r="H151" i="9" s="1"/>
  <c r="G152" i="9" a="1"/>
  <c r="G152" i="9"/>
  <c r="G153" i="9" a="1"/>
  <c r="G153" i="9" s="1"/>
  <c r="G154" i="9" a="1"/>
  <c r="G154" i="9" s="1"/>
  <c r="G155" i="9" a="1"/>
  <c r="G155" i="9" s="1"/>
  <c r="G156" i="9" a="1"/>
  <c r="G156" i="9" s="1"/>
  <c r="G157" i="9" a="1"/>
  <c r="G157" i="9"/>
  <c r="G158" i="9" a="1"/>
  <c r="G158" i="9"/>
  <c r="J158" i="9" s="1"/>
  <c r="G159" i="9" a="1"/>
  <c r="G159" i="9"/>
  <c r="G160" i="9" a="1"/>
  <c r="G160" i="9" s="1"/>
  <c r="H160" i="9" s="1"/>
  <c r="G161" i="9" a="1"/>
  <c r="G161" i="9" s="1"/>
  <c r="G162" i="9" a="1"/>
  <c r="G162" i="9" s="1"/>
  <c r="G163" i="9" a="1"/>
  <c r="G163" i="9"/>
  <c r="G164" i="9" a="1"/>
  <c r="G164" i="9"/>
  <c r="J164" i="9" s="1"/>
  <c r="G165" i="9" a="1"/>
  <c r="G165" i="9"/>
  <c r="J165" i="9" s="1"/>
  <c r="G166" i="9" a="1"/>
  <c r="G166" i="9" s="1"/>
  <c r="H166" i="9" s="1"/>
  <c r="G167" i="9" a="1"/>
  <c r="G167" i="9" s="1"/>
  <c r="J167" i="9" s="1"/>
  <c r="G168" i="9" a="1"/>
  <c r="G168" i="9" s="1"/>
  <c r="G169" i="9" a="1"/>
  <c r="G169" i="9" s="1"/>
  <c r="G170" i="9" a="1"/>
  <c r="G170" i="9" s="1"/>
  <c r="J170" i="9" s="1"/>
  <c r="G171" i="9" a="1"/>
  <c r="G171" i="9"/>
  <c r="G172" i="9" a="1"/>
  <c r="G172" i="9" s="1"/>
  <c r="G173" i="9" a="1"/>
  <c r="G173" i="9" s="1"/>
  <c r="H173" i="9" s="1"/>
  <c r="G174" i="9" a="1"/>
  <c r="G174" i="9" s="1"/>
  <c r="G175" i="9" a="1"/>
  <c r="G175" i="9"/>
  <c r="G176" i="9" a="1"/>
  <c r="G176" i="9"/>
  <c r="G177" i="9" a="1"/>
  <c r="G177" i="9" s="1"/>
  <c r="G178" i="9" a="1"/>
  <c r="G178" i="9" s="1"/>
  <c r="H178" i="9" s="1"/>
  <c r="G179" i="9" a="1"/>
  <c r="G179" i="9" s="1"/>
  <c r="G180" i="9" a="1"/>
  <c r="G180" i="9" s="1"/>
  <c r="G181" i="9" a="1"/>
  <c r="G181" i="9"/>
  <c r="G182" i="9" a="1"/>
  <c r="G182" i="9"/>
  <c r="G183" i="9" a="1"/>
  <c r="G183" i="9"/>
  <c r="G184" i="9" a="1"/>
  <c r="G184" i="9" s="1"/>
  <c r="J184" i="9" s="1"/>
  <c r="G185" i="9" a="1"/>
  <c r="G185" i="9" s="1"/>
  <c r="G186" i="9" a="1"/>
  <c r="G186" i="9" s="1"/>
  <c r="G187" i="9" a="1"/>
  <c r="G187" i="9"/>
  <c r="G188" i="9" a="1"/>
  <c r="G188" i="9"/>
  <c r="G189" i="9" a="1"/>
  <c r="G189" i="9"/>
  <c r="G190" i="9" a="1"/>
  <c r="G190" i="9" s="1"/>
  <c r="G191" i="9" a="1"/>
  <c r="G191" i="9" s="1"/>
  <c r="G192" i="9" a="1"/>
  <c r="G192" i="9" s="1"/>
  <c r="G193" i="9" a="1"/>
  <c r="G193" i="9" s="1"/>
  <c r="G194" i="9" a="1"/>
  <c r="G194" i="9" s="1"/>
  <c r="G195" i="9" a="1"/>
  <c r="G195" i="9"/>
  <c r="G196" i="9" a="1"/>
  <c r="G196" i="9" s="1"/>
  <c r="G197" i="9" a="1"/>
  <c r="G197" i="9" s="1"/>
  <c r="G198" i="9" a="1"/>
  <c r="G198" i="9" s="1"/>
  <c r="G199" i="9" a="1"/>
  <c r="G199" i="9"/>
  <c r="G200" i="9" a="1"/>
  <c r="G200" i="9"/>
  <c r="H200" i="9" s="1"/>
  <c r="G201" i="9" a="1"/>
  <c r="G201" i="9" s="1"/>
  <c r="J201" i="9" s="1"/>
  <c r="G202" i="9" a="1"/>
  <c r="G202" i="9" s="1"/>
  <c r="G203" i="9" a="1"/>
  <c r="G203" i="9" s="1"/>
  <c r="G204" i="9" a="1"/>
  <c r="G204" i="9" s="1"/>
  <c r="G205" i="9" a="1"/>
  <c r="G205" i="9"/>
  <c r="G206" i="9" a="1"/>
  <c r="G206" i="9"/>
  <c r="G207" i="9" a="1"/>
  <c r="G207" i="9"/>
  <c r="J207" i="9" s="1"/>
  <c r="G208" i="9" a="1"/>
  <c r="G208" i="9" s="1"/>
  <c r="G209" i="9" a="1"/>
  <c r="G209" i="9" s="1"/>
  <c r="G210" i="9" a="1"/>
  <c r="G210" i="9" s="1"/>
  <c r="G211" i="9" a="1"/>
  <c r="G211" i="9"/>
  <c r="G212" i="9" a="1"/>
  <c r="G212" i="9"/>
  <c r="H212" i="9" s="1"/>
  <c r="G213" i="9" a="1"/>
  <c r="G213" i="9"/>
  <c r="G214" i="9" a="1"/>
  <c r="G214" i="9" s="1"/>
  <c r="G215" i="9" a="1"/>
  <c r="G215" i="9" s="1"/>
  <c r="G216" i="9" a="1"/>
  <c r="G216" i="9" s="1"/>
  <c r="G217" i="9" a="1"/>
  <c r="G217" i="9" s="1"/>
  <c r="G218" i="9" a="1"/>
  <c r="G218" i="9" s="1"/>
  <c r="G219" i="9" a="1"/>
  <c r="G219" i="9"/>
  <c r="G220" i="9" a="1"/>
  <c r="G220" i="9" s="1"/>
  <c r="G221" i="9" a="1"/>
  <c r="G221" i="9" s="1"/>
  <c r="G222" i="9" a="1"/>
  <c r="G222" i="9" s="1"/>
  <c r="G223" i="9" a="1"/>
  <c r="G223" i="9"/>
  <c r="H223" i="9" s="1"/>
  <c r="G224" i="9" a="1"/>
  <c r="G224" i="9"/>
  <c r="G225" i="9" a="1"/>
  <c r="G225" i="9" s="1"/>
  <c r="G226" i="9" a="1"/>
  <c r="G226" i="9" s="1"/>
  <c r="G227" i="9" a="1"/>
  <c r="G227" i="9" s="1"/>
  <c r="G228" i="9" a="1"/>
  <c r="G228" i="9" s="1"/>
  <c r="G229" i="9" a="1"/>
  <c r="G229" i="9"/>
  <c r="G230" i="9" a="1"/>
  <c r="G230" i="9"/>
  <c r="J230" i="9" s="1"/>
  <c r="G231" i="9" a="1"/>
  <c r="G231" i="9"/>
  <c r="G232" i="9" a="1"/>
  <c r="G232" i="9" s="1"/>
  <c r="J232" i="9" s="1"/>
  <c r="G233" i="9" a="1"/>
  <c r="G233" i="9" s="1"/>
  <c r="G234" i="9" a="1"/>
  <c r="G234" i="9" s="1"/>
  <c r="G235" i="9" a="1"/>
  <c r="G235" i="9"/>
  <c r="G236" i="9" a="1"/>
  <c r="G236" i="9"/>
  <c r="G237" i="9" a="1"/>
  <c r="G237" i="9"/>
  <c r="H237" i="9" s="1"/>
  <c r="G238" i="9" a="1"/>
  <c r="G238" i="9" s="1"/>
  <c r="G239" i="9" a="1"/>
  <c r="G239" i="9" s="1"/>
  <c r="G240" i="9" a="1"/>
  <c r="G240" i="9" s="1"/>
  <c r="G241" i="9" a="1"/>
  <c r="G241" i="9" s="1"/>
  <c r="G242" i="9" a="1"/>
  <c r="G242" i="9" s="1"/>
  <c r="G243" i="9" a="1"/>
  <c r="G243" i="9"/>
  <c r="G244" i="9" a="1"/>
  <c r="G244" i="9" s="1"/>
  <c r="G245" i="9" a="1"/>
  <c r="G245" i="9" s="1"/>
  <c r="G246" i="9" a="1"/>
  <c r="G246" i="9" s="1"/>
  <c r="G247" i="9" a="1"/>
  <c r="G247" i="9"/>
  <c r="G248" i="9" a="1"/>
  <c r="G248" i="9"/>
  <c r="G249" i="9" a="1"/>
  <c r="G249" i="9" s="1"/>
  <c r="H249" i="9" s="1"/>
  <c r="G250" i="9" a="1"/>
  <c r="G250" i="9" s="1"/>
  <c r="J250" i="9" s="1"/>
  <c r="G251" i="9" a="1"/>
  <c r="G251" i="9" s="1"/>
  <c r="G252" i="9" a="1"/>
  <c r="G252" i="9" s="1"/>
  <c r="J252" i="9" s="1"/>
  <c r="G253" i="9" a="1"/>
  <c r="G253" i="9"/>
  <c r="G254" i="9" a="1"/>
  <c r="G254" i="9"/>
  <c r="G255" i="9" a="1"/>
  <c r="G255" i="9"/>
  <c r="G256" i="9" a="1"/>
  <c r="G256" i="9" s="1"/>
  <c r="J256" i="9" s="1"/>
  <c r="G257" i="9" a="1"/>
  <c r="G257" i="9" s="1"/>
  <c r="H257" i="9" s="1"/>
  <c r="G258" i="9" a="1"/>
  <c r="G258" i="9" s="1"/>
  <c r="G259" i="9" a="1"/>
  <c r="G259" i="9"/>
  <c r="H259" i="9" s="1"/>
  <c r="G260" i="9" a="1"/>
  <c r="G260" i="9"/>
  <c r="G261" i="9" a="1"/>
  <c r="G261" i="9"/>
  <c r="G262" i="9" a="1"/>
  <c r="G262" i="9" s="1"/>
  <c r="G263" i="9" a="1"/>
  <c r="G263" i="9" s="1"/>
  <c r="G264" i="9" a="1"/>
  <c r="G264" i="9" s="1"/>
  <c r="G265" i="9" a="1"/>
  <c r="G265" i="9" s="1"/>
  <c r="G266" i="9" a="1"/>
  <c r="G266" i="9" s="1"/>
  <c r="J266" i="9" s="1"/>
  <c r="G267" i="9" a="1"/>
  <c r="G267" i="9"/>
  <c r="G268" i="9" a="1"/>
  <c r="G268" i="9" s="1"/>
  <c r="G269" i="9" a="1"/>
  <c r="G269" i="9" s="1"/>
  <c r="G270" i="9" a="1"/>
  <c r="G270" i="9" s="1"/>
  <c r="G271" i="9" a="1"/>
  <c r="G271" i="9"/>
  <c r="G272" i="9" a="1"/>
  <c r="G272" i="9"/>
  <c r="G273" i="9" a="1"/>
  <c r="G273" i="9" s="1"/>
  <c r="J273" i="9" s="1"/>
  <c r="G274" i="9" a="1"/>
  <c r="G274" i="9" s="1"/>
  <c r="G275" i="9" a="1"/>
  <c r="G275" i="9" s="1"/>
  <c r="G276" i="9" a="1"/>
  <c r="G276" i="9" s="1"/>
  <c r="G277" i="9" a="1"/>
  <c r="G277" i="9"/>
  <c r="G278" i="9" a="1"/>
  <c r="G278" i="9"/>
  <c r="G279" i="9" a="1"/>
  <c r="G279" i="9"/>
  <c r="G280" i="9" a="1"/>
  <c r="G280" i="9" s="1"/>
  <c r="H280" i="9" s="1"/>
  <c r="G281" i="9" a="1"/>
  <c r="G281" i="9" s="1"/>
  <c r="G282" i="9" a="1"/>
  <c r="G282" i="9" s="1"/>
  <c r="G283" i="9" a="1"/>
  <c r="G283" i="9"/>
  <c r="G284" i="9" a="1"/>
  <c r="G284" i="9"/>
  <c r="G285" i="9" a="1"/>
  <c r="G285" i="9"/>
  <c r="G286" i="9" a="1"/>
  <c r="G286" i="9" s="1"/>
  <c r="G287" i="9" a="1"/>
  <c r="G287" i="9" s="1"/>
  <c r="G288" i="9" a="1"/>
  <c r="G288" i="9" s="1"/>
  <c r="G289" i="9" a="1"/>
  <c r="G289" i="9" s="1"/>
  <c r="G290" i="9" a="1"/>
  <c r="G290" i="9"/>
  <c r="G291" i="9" a="1"/>
  <c r="G291" i="9"/>
  <c r="G292" i="9" a="1"/>
  <c r="G292" i="9" s="1"/>
  <c r="G293" i="9" a="1"/>
  <c r="G293" i="9" s="1"/>
  <c r="G294" i="9" a="1"/>
  <c r="G294" i="9" s="1"/>
  <c r="G295" i="9" a="1"/>
  <c r="G295" i="9"/>
  <c r="G296" i="9" a="1"/>
  <c r="G296" i="9"/>
  <c r="G297" i="9" a="1"/>
  <c r="G297" i="9" s="1"/>
  <c r="G298" i="9" a="1"/>
  <c r="G298" i="9" s="1"/>
  <c r="G299" i="9" a="1"/>
  <c r="G299" i="9" s="1"/>
  <c r="G300" i="9" a="1"/>
  <c r="G300" i="9" s="1"/>
  <c r="G301" i="9" a="1"/>
  <c r="G301" i="9"/>
  <c r="G302" i="9" a="1"/>
  <c r="G302" i="9"/>
  <c r="G303" i="9" a="1"/>
  <c r="G303" i="9"/>
  <c r="G304" i="9" a="1"/>
  <c r="G304" i="9" s="1"/>
  <c r="G305" i="9" a="1"/>
  <c r="G305" i="9" s="1"/>
  <c r="G306" i="9" a="1"/>
  <c r="G306" i="9" s="1"/>
  <c r="G307" i="9" a="1"/>
  <c r="G307" i="9"/>
  <c r="G308" i="9" a="1"/>
  <c r="G308" i="9"/>
  <c r="H308" i="9" s="1"/>
  <c r="G309" i="9" a="1"/>
  <c r="G309" i="9"/>
  <c r="G310" i="9" a="1"/>
  <c r="G310" i="9" s="1"/>
  <c r="H310" i="9" s="1"/>
  <c r="G311" i="9" a="1"/>
  <c r="G311" i="9" s="1"/>
  <c r="G312" i="9" a="1"/>
  <c r="G312" i="9" s="1"/>
  <c r="G313" i="9" a="1"/>
  <c r="G313" i="9" s="1"/>
  <c r="G314" i="9" a="1"/>
  <c r="G314" i="9"/>
  <c r="G315" i="9" a="1"/>
  <c r="G315" i="9"/>
  <c r="G316" i="9" a="1"/>
  <c r="G316" i="9" s="1"/>
  <c r="H316" i="9" s="1"/>
  <c r="G317" i="9" a="1"/>
  <c r="G317" i="9" s="1"/>
  <c r="G318" i="9" a="1"/>
  <c r="G318" i="9" s="1"/>
  <c r="G319" i="9" a="1"/>
  <c r="G319" i="9"/>
  <c r="G320" i="9" a="1"/>
  <c r="G320" i="9"/>
  <c r="G321" i="9" a="1"/>
  <c r="G321" i="9" s="1"/>
  <c r="H321" i="9" s="1"/>
  <c r="G322" i="9" a="1"/>
  <c r="G322" i="9" s="1"/>
  <c r="G323" i="9" a="1"/>
  <c r="G323" i="9" s="1"/>
  <c r="J323" i="9" s="1"/>
  <c r="G324" i="9" a="1"/>
  <c r="G324" i="9" s="1"/>
  <c r="G325" i="9" a="1"/>
  <c r="G325" i="9"/>
  <c r="G3" i="9" a="1"/>
  <c r="G3" i="9" s="1"/>
  <c r="G4" i="9" a="1"/>
  <c r="G4" i="9"/>
  <c r="H4" i="9" s="1"/>
  <c r="G5" i="9" a="1"/>
  <c r="G5" i="9"/>
  <c r="J5" i="9" s="1"/>
  <c r="G6" i="9" a="1"/>
  <c r="G6" i="9"/>
  <c r="J6" i="9" s="1"/>
  <c r="G7" i="9" a="1"/>
  <c r="G7" i="9"/>
  <c r="J7" i="9" s="1"/>
  <c r="G8" i="9" a="1"/>
  <c r="G8" i="9"/>
  <c r="J8" i="9" s="1"/>
  <c r="G9" i="9" a="1"/>
  <c r="G9" i="9" s="1"/>
  <c r="G2" i="9" a="1"/>
  <c r="G2" i="9" s="1"/>
  <c r="F3" i="9" a="1"/>
  <c r="F3" i="9" s="1"/>
  <c r="F4" i="9" a="1"/>
  <c r="F4" i="9" s="1"/>
  <c r="F5" i="9" a="1"/>
  <c r="F5" i="9" s="1"/>
  <c r="F6" i="9" a="1"/>
  <c r="F6" i="9"/>
  <c r="F7" i="9" a="1"/>
  <c r="F7" i="9" s="1"/>
  <c r="F8" i="9" a="1"/>
  <c r="F8" i="9"/>
  <c r="F9" i="9" a="1"/>
  <c r="F9" i="9" s="1"/>
  <c r="F10" i="9" a="1"/>
  <c r="F10" i="9" s="1"/>
  <c r="F11" i="9" a="1"/>
  <c r="F11" i="9" s="1"/>
  <c r="H11" i="9" s="1"/>
  <c r="F12" i="9" a="1"/>
  <c r="F12" i="9" s="1"/>
  <c r="F13" i="9" a="1"/>
  <c r="F13" i="9"/>
  <c r="J13" i="9" s="1"/>
  <c r="F14" i="9" a="1"/>
  <c r="F14" i="9" s="1"/>
  <c r="F15" i="9" a="1"/>
  <c r="F15" i="9" s="1"/>
  <c r="J15" i="9" s="1"/>
  <c r="F16" i="9" a="1"/>
  <c r="F16" i="9" s="1"/>
  <c r="J16" i="9" s="1"/>
  <c r="F17" i="9" a="1"/>
  <c r="F17" i="9"/>
  <c r="F18" i="9" a="1"/>
  <c r="F18" i="9" s="1"/>
  <c r="F19" i="9" a="1"/>
  <c r="F19" i="9" s="1"/>
  <c r="F20" i="9" a="1"/>
  <c r="F20" i="9"/>
  <c r="J20" i="9" s="1"/>
  <c r="F21" i="9" a="1"/>
  <c r="F21" i="9" s="1"/>
  <c r="J21" i="9" s="1"/>
  <c r="F22" i="9" a="1"/>
  <c r="F22" i="9" s="1"/>
  <c r="F23" i="9" a="1"/>
  <c r="F23" i="9"/>
  <c r="J23" i="9" s="1"/>
  <c r="F24" i="9" a="1"/>
  <c r="F24" i="9" s="1"/>
  <c r="F25" i="9" a="1"/>
  <c r="F25" i="9" s="1"/>
  <c r="F26" i="9" a="1"/>
  <c r="F26" i="9" s="1"/>
  <c r="F27" i="9" a="1"/>
  <c r="F27" i="9" s="1"/>
  <c r="F28" i="9" a="1"/>
  <c r="F28" i="9" s="1"/>
  <c r="F29" i="9" a="1"/>
  <c r="F29" i="9" s="1"/>
  <c r="F30" i="9" a="1"/>
  <c r="F30" i="9"/>
  <c r="F31" i="9" a="1"/>
  <c r="F31" i="9"/>
  <c r="F32" i="9" a="1"/>
  <c r="F32" i="9" s="1"/>
  <c r="F33" i="9" a="1"/>
  <c r="F33" i="9" s="1"/>
  <c r="F34" i="9" a="1"/>
  <c r="F34" i="9" s="1"/>
  <c r="F35" i="9" a="1"/>
  <c r="F35" i="9"/>
  <c r="F36" i="9" a="1"/>
  <c r="F36" i="9" s="1"/>
  <c r="F37" i="9" a="1"/>
  <c r="F37" i="9"/>
  <c r="F38" i="9" a="1"/>
  <c r="F38" i="9"/>
  <c r="F39" i="9" a="1"/>
  <c r="F39" i="9" s="1"/>
  <c r="F40" i="9" a="1"/>
  <c r="F40" i="9" s="1"/>
  <c r="F41" i="9" a="1"/>
  <c r="F41" i="9" s="1"/>
  <c r="F42" i="9" a="1"/>
  <c r="F42" i="9"/>
  <c r="H42" i="9" s="1"/>
  <c r="F43" i="9" a="1"/>
  <c r="F43" i="9" s="1"/>
  <c r="F44" i="9" a="1"/>
  <c r="F44" i="9"/>
  <c r="F45" i="9" a="1"/>
  <c r="F45" i="9" s="1"/>
  <c r="F46" i="9" a="1"/>
  <c r="F46" i="9" s="1"/>
  <c r="F47" i="9" a="1"/>
  <c r="F47" i="9" s="1"/>
  <c r="F48" i="9" a="1"/>
  <c r="F48" i="9" s="1"/>
  <c r="F49" i="9" a="1"/>
  <c r="F49" i="9"/>
  <c r="J49" i="9" s="1"/>
  <c r="F50" i="9" a="1"/>
  <c r="F50" i="9" s="1"/>
  <c r="F51" i="9" a="1"/>
  <c r="F51" i="9" s="1"/>
  <c r="J51" i="9" s="1"/>
  <c r="F52" i="9" a="1"/>
  <c r="F52" i="9" s="1"/>
  <c r="F53" i="9" a="1"/>
  <c r="F53" i="9"/>
  <c r="F54" i="9" a="1"/>
  <c r="F54" i="9" s="1"/>
  <c r="F55" i="9" a="1"/>
  <c r="F55" i="9" s="1"/>
  <c r="F56" i="9" a="1"/>
  <c r="F56" i="9"/>
  <c r="F57" i="9" a="1"/>
  <c r="F57" i="9" s="1"/>
  <c r="F58" i="9" a="1"/>
  <c r="F58" i="9" s="1"/>
  <c r="F59" i="9" a="1"/>
  <c r="F59" i="9"/>
  <c r="F60" i="9" a="1"/>
  <c r="F60" i="9" s="1"/>
  <c r="F61" i="9" a="1"/>
  <c r="F61" i="9" s="1"/>
  <c r="F62" i="9" a="1"/>
  <c r="F62" i="9" s="1"/>
  <c r="F63" i="9" a="1"/>
  <c r="F63" i="9" s="1"/>
  <c r="F64" i="9" a="1"/>
  <c r="F64" i="9" s="1"/>
  <c r="F65" i="9" a="1"/>
  <c r="F65" i="9" s="1"/>
  <c r="F66" i="9" a="1"/>
  <c r="F66" i="9"/>
  <c r="F67" i="9" a="1"/>
  <c r="F67" i="9"/>
  <c r="F68" i="9" a="1"/>
  <c r="F68" i="9" s="1"/>
  <c r="H68" i="9" s="1"/>
  <c r="F69" i="9" a="1"/>
  <c r="F69" i="9" s="1"/>
  <c r="F70" i="9" a="1"/>
  <c r="F70" i="9" s="1"/>
  <c r="J70" i="9" s="1"/>
  <c r="F71" i="9" a="1"/>
  <c r="F71" i="9"/>
  <c r="F72" i="9" a="1"/>
  <c r="F72" i="9" s="1"/>
  <c r="F73" i="9" a="1"/>
  <c r="F73" i="9"/>
  <c r="F74" i="9" a="1"/>
  <c r="F74" i="9"/>
  <c r="F75" i="9" a="1"/>
  <c r="F75" i="9" s="1"/>
  <c r="J75" i="9" s="1"/>
  <c r="F76" i="9" a="1"/>
  <c r="F76" i="9" s="1"/>
  <c r="F77" i="9" a="1"/>
  <c r="F77" i="9" s="1"/>
  <c r="F78" i="9" a="1"/>
  <c r="F78" i="9"/>
  <c r="J78" i="9" s="1"/>
  <c r="F79" i="9" a="1"/>
  <c r="F79" i="9" s="1"/>
  <c r="J79" i="9" s="1"/>
  <c r="F80" i="9" a="1"/>
  <c r="F80" i="9"/>
  <c r="F81" i="9" a="1"/>
  <c r="F81" i="9" s="1"/>
  <c r="F82" i="9" a="1"/>
  <c r="F82" i="9" s="1"/>
  <c r="F83" i="9" a="1"/>
  <c r="F83" i="9" s="1"/>
  <c r="F84" i="9" a="1"/>
  <c r="F84" i="9" s="1"/>
  <c r="F85" i="9" a="1"/>
  <c r="F85" i="9"/>
  <c r="H85" i="9" s="1"/>
  <c r="F86" i="9" a="1"/>
  <c r="F86" i="9" s="1"/>
  <c r="F87" i="9" a="1"/>
  <c r="F87" i="9" s="1"/>
  <c r="F88" i="9" a="1"/>
  <c r="F88" i="9" s="1"/>
  <c r="F89" i="9" a="1"/>
  <c r="F89" i="9"/>
  <c r="F90" i="9" a="1"/>
  <c r="F90" i="9" s="1"/>
  <c r="J90" i="9" s="1"/>
  <c r="F91" i="9" a="1"/>
  <c r="F91" i="9" s="1"/>
  <c r="F92" i="9" a="1"/>
  <c r="F92" i="9"/>
  <c r="F93" i="9" a="1"/>
  <c r="F93" i="9" s="1"/>
  <c r="F94" i="9" a="1"/>
  <c r="F94" i="9" s="1"/>
  <c r="F95" i="9" a="1"/>
  <c r="F95" i="9"/>
  <c r="F96" i="9" a="1"/>
  <c r="F96" i="9" s="1"/>
  <c r="F97" i="9" a="1"/>
  <c r="F97" i="9" s="1"/>
  <c r="J97" i="9" s="1"/>
  <c r="F98" i="9" a="1"/>
  <c r="F98" i="9" s="1"/>
  <c r="F99" i="9" a="1"/>
  <c r="F99" i="9" s="1"/>
  <c r="F100" i="9" a="1"/>
  <c r="F100" i="9" s="1"/>
  <c r="F101" i="9" a="1"/>
  <c r="F101" i="9" s="1"/>
  <c r="F102" i="9" a="1"/>
  <c r="F102" i="9"/>
  <c r="F103" i="9" a="1"/>
  <c r="F103" i="9"/>
  <c r="F104" i="9" a="1"/>
  <c r="F104" i="9" s="1"/>
  <c r="F105" i="9" a="1"/>
  <c r="F105" i="9" s="1"/>
  <c r="F106" i="9" a="1"/>
  <c r="F106" i="9" s="1"/>
  <c r="F107" i="9" a="1"/>
  <c r="F107" i="9"/>
  <c r="H107" i="9" s="1"/>
  <c r="F108" i="9" a="1"/>
  <c r="F108" i="9" s="1"/>
  <c r="F109" i="9" a="1"/>
  <c r="F109" i="9"/>
  <c r="F110" i="9" a="1"/>
  <c r="F110" i="9"/>
  <c r="F111" i="9" a="1"/>
  <c r="F111" i="9" s="1"/>
  <c r="F112" i="9" a="1"/>
  <c r="F112" i="9" s="1"/>
  <c r="F113" i="9" a="1"/>
  <c r="F113" i="9" s="1"/>
  <c r="J113" i="9" s="1"/>
  <c r="F114" i="9" a="1"/>
  <c r="F114" i="9"/>
  <c r="F115" i="9" a="1"/>
  <c r="F115" i="9" s="1"/>
  <c r="J115" i="9" s="1"/>
  <c r="F116" i="9" a="1"/>
  <c r="F116" i="9"/>
  <c r="F117" i="9" a="1"/>
  <c r="F117" i="9" s="1"/>
  <c r="F118" i="9" a="1"/>
  <c r="F118" i="9" s="1"/>
  <c r="F119" i="9" a="1"/>
  <c r="F119" i="9" s="1"/>
  <c r="F120" i="9" a="1"/>
  <c r="F120" i="9" s="1"/>
  <c r="F121" i="9" a="1"/>
  <c r="F121" i="9"/>
  <c r="F122" i="9" a="1"/>
  <c r="F122" i="9" s="1"/>
  <c r="F123" i="9" a="1"/>
  <c r="F123" i="9" s="1"/>
  <c r="F124" i="9" a="1"/>
  <c r="F124" i="9" s="1"/>
  <c r="F125" i="9" a="1"/>
  <c r="F125" i="9"/>
  <c r="F126" i="9" a="1"/>
  <c r="F126" i="9" s="1"/>
  <c r="F127" i="9" a="1"/>
  <c r="F127" i="9" s="1"/>
  <c r="F128" i="9" a="1"/>
  <c r="F128" i="9"/>
  <c r="F129" i="9" a="1"/>
  <c r="F129" i="9" s="1"/>
  <c r="F130" i="9" a="1"/>
  <c r="F130" i="9" s="1"/>
  <c r="F131" i="9" a="1"/>
  <c r="F131" i="9"/>
  <c r="F132" i="9" a="1"/>
  <c r="F132" i="9" s="1"/>
  <c r="J132" i="9" s="1"/>
  <c r="F133" i="9" a="1"/>
  <c r="F133" i="9" s="1"/>
  <c r="J133" i="9" s="1"/>
  <c r="F134" i="9" a="1"/>
  <c r="F134" i="9" s="1"/>
  <c r="F135" i="9" a="1"/>
  <c r="F135" i="9" s="1"/>
  <c r="F136" i="9" a="1"/>
  <c r="F136" i="9" s="1"/>
  <c r="F137" i="9" a="1"/>
  <c r="F137" i="9" s="1"/>
  <c r="J137" i="9" s="1"/>
  <c r="F138" i="9" a="1"/>
  <c r="F138" i="9"/>
  <c r="F139" i="9" a="1"/>
  <c r="F139" i="9"/>
  <c r="H139" i="9" s="1"/>
  <c r="F140" i="9" a="1"/>
  <c r="F140" i="9" s="1"/>
  <c r="H140" i="9" s="1"/>
  <c r="F141" i="9" a="1"/>
  <c r="F141" i="9" s="1"/>
  <c r="F142" i="9" a="1"/>
  <c r="F142" i="9" s="1"/>
  <c r="F143" i="9" a="1"/>
  <c r="F143" i="9"/>
  <c r="H143" i="9" s="1"/>
  <c r="F144" i="9" a="1"/>
  <c r="F144" i="9" s="1"/>
  <c r="F145" i="9" a="1"/>
  <c r="F145" i="9"/>
  <c r="F146" i="9" a="1"/>
  <c r="F146" i="9"/>
  <c r="F147" i="9" a="1"/>
  <c r="F147" i="9" s="1"/>
  <c r="F148" i="9" a="1"/>
  <c r="F148" i="9" s="1"/>
  <c r="F149" i="9" a="1"/>
  <c r="F149" i="9" s="1"/>
  <c r="F150" i="9" a="1"/>
  <c r="F150" i="9"/>
  <c r="J150" i="9" s="1"/>
  <c r="F151" i="9" a="1"/>
  <c r="F151" i="9" s="1"/>
  <c r="F152" i="9" a="1"/>
  <c r="F152" i="9"/>
  <c r="F153" i="9" a="1"/>
  <c r="F153" i="9" s="1"/>
  <c r="F154" i="9" a="1"/>
  <c r="F154" i="9" s="1"/>
  <c r="F155" i="9" a="1"/>
  <c r="F155" i="9" s="1"/>
  <c r="F156" i="9" a="1"/>
  <c r="F156" i="9" s="1"/>
  <c r="F157" i="9" a="1"/>
  <c r="F157" i="9"/>
  <c r="F158" i="9" a="1"/>
  <c r="F158" i="9" s="1"/>
  <c r="F159" i="9" a="1"/>
  <c r="F159" i="9" s="1"/>
  <c r="F160" i="9" a="1"/>
  <c r="F160" i="9" s="1"/>
  <c r="F161" i="9" a="1"/>
  <c r="F161" i="9"/>
  <c r="F162" i="9" a="1"/>
  <c r="F162" i="9" s="1"/>
  <c r="F163" i="9" a="1"/>
  <c r="F163" i="9" s="1"/>
  <c r="F164" i="9" a="1"/>
  <c r="F164" i="9"/>
  <c r="F165" i="9" a="1"/>
  <c r="F165" i="9" s="1"/>
  <c r="F166" i="9" a="1"/>
  <c r="F166" i="9" s="1"/>
  <c r="F167" i="9" a="1"/>
  <c r="F167" i="9"/>
  <c r="F168" i="9" a="1"/>
  <c r="F168" i="9" s="1"/>
  <c r="F169" i="9" a="1"/>
  <c r="F169" i="9" s="1"/>
  <c r="F170" i="9" a="1"/>
  <c r="F170" i="9" s="1"/>
  <c r="F171" i="9" a="1"/>
  <c r="F171" i="9" s="1"/>
  <c r="F172" i="9" a="1"/>
  <c r="F172" i="9" s="1"/>
  <c r="F173" i="9" a="1"/>
  <c r="F173" i="9" s="1"/>
  <c r="F174" i="9" a="1"/>
  <c r="F174" i="9"/>
  <c r="F175" i="9" a="1"/>
  <c r="F175" i="9"/>
  <c r="F176" i="9" a="1"/>
  <c r="F176" i="9" s="1"/>
  <c r="F177" i="9" a="1"/>
  <c r="F177" i="9" s="1"/>
  <c r="F178" i="9" a="1"/>
  <c r="F178" i="9" s="1"/>
  <c r="F179" i="9" a="1"/>
  <c r="F179" i="9"/>
  <c r="H179" i="9" s="1"/>
  <c r="F180" i="9" a="1"/>
  <c r="F180" i="9" s="1"/>
  <c r="J180" i="9" s="1"/>
  <c r="F181" i="9" a="1"/>
  <c r="F181" i="9"/>
  <c r="F182" i="9" a="1"/>
  <c r="F182" i="9"/>
  <c r="F183" i="9" a="1"/>
  <c r="F183" i="9" s="1"/>
  <c r="F184" i="9" a="1"/>
  <c r="F184" i="9" s="1"/>
  <c r="F185" i="9" a="1"/>
  <c r="F185" i="9" s="1"/>
  <c r="F186" i="9" a="1"/>
  <c r="F186" i="9"/>
  <c r="J186" i="9" s="1"/>
  <c r="F187" i="9" a="1"/>
  <c r="F187" i="9" s="1"/>
  <c r="J187" i="9" s="1"/>
  <c r="F188" i="9" a="1"/>
  <c r="F188" i="9"/>
  <c r="J188" i="9" s="1"/>
  <c r="F189" i="9" a="1"/>
  <c r="F189" i="9" s="1"/>
  <c r="F190" i="9" a="1"/>
  <c r="F190" i="9" s="1"/>
  <c r="F191" i="9" a="1"/>
  <c r="F191" i="9" s="1"/>
  <c r="F192" i="9" a="1"/>
  <c r="F192" i="9" s="1"/>
  <c r="F193" i="9" a="1"/>
  <c r="F193" i="9"/>
  <c r="F194" i="9" a="1"/>
  <c r="F194" i="9" s="1"/>
  <c r="F195" i="9" a="1"/>
  <c r="F195" i="9" s="1"/>
  <c r="J195" i="9" s="1"/>
  <c r="F196" i="9" a="1"/>
  <c r="F196" i="9" s="1"/>
  <c r="H196" i="9" s="1"/>
  <c r="F197" i="9" a="1"/>
  <c r="F197" i="9"/>
  <c r="F198" i="9" a="1"/>
  <c r="F198" i="9" s="1"/>
  <c r="F199" i="9" a="1"/>
  <c r="F199" i="9" s="1"/>
  <c r="F200" i="9" a="1"/>
  <c r="F200" i="9"/>
  <c r="F201" i="9" a="1"/>
  <c r="F201" i="9" s="1"/>
  <c r="F202" i="9" a="1"/>
  <c r="F202" i="9" s="1"/>
  <c r="F203" i="9" a="1"/>
  <c r="F203" i="9"/>
  <c r="F204" i="9" a="1"/>
  <c r="F204" i="9" s="1"/>
  <c r="J204" i="9" s="1"/>
  <c r="F205" i="9" a="1"/>
  <c r="F205" i="9" s="1"/>
  <c r="H205" i="9" s="1"/>
  <c r="F206" i="9" a="1"/>
  <c r="F206" i="9" s="1"/>
  <c r="J206" i="9" s="1"/>
  <c r="F207" i="9" a="1"/>
  <c r="F207" i="9" s="1"/>
  <c r="F208" i="9" a="1"/>
  <c r="F208" i="9" s="1"/>
  <c r="F209" i="9" a="1"/>
  <c r="F209" i="9" s="1"/>
  <c r="J209" i="9" s="1"/>
  <c r="F210" i="9" a="1"/>
  <c r="F210" i="9"/>
  <c r="J210" i="9" s="1"/>
  <c r="F211" i="9" a="1"/>
  <c r="F211" i="9"/>
  <c r="F212" i="9" a="1"/>
  <c r="F212" i="9" s="1"/>
  <c r="F213" i="9" a="1"/>
  <c r="F213" i="9" s="1"/>
  <c r="F214" i="9" a="1"/>
  <c r="F214" i="9" s="1"/>
  <c r="F215" i="9" a="1"/>
  <c r="F215" i="9"/>
  <c r="F216" i="9" a="1"/>
  <c r="F216" i="9" s="1"/>
  <c r="F217" i="9" a="1"/>
  <c r="F217" i="9"/>
  <c r="F218" i="9" a="1"/>
  <c r="F218" i="9"/>
  <c r="F219" i="9" a="1"/>
  <c r="F219" i="9" s="1"/>
  <c r="F220" i="9" a="1"/>
  <c r="F220" i="9" s="1"/>
  <c r="F221" i="9" a="1"/>
  <c r="F221" i="9" s="1"/>
  <c r="F222" i="9" a="1"/>
  <c r="F222" i="9"/>
  <c r="F223" i="9" a="1"/>
  <c r="F223" i="9" s="1"/>
  <c r="F224" i="9" a="1"/>
  <c r="F224" i="9" s="1"/>
  <c r="F225" i="9" a="1"/>
  <c r="F225" i="9" s="1"/>
  <c r="F226" i="9" a="1"/>
  <c r="F226" i="9" s="1"/>
  <c r="F227" i="9" a="1"/>
  <c r="F227" i="9" s="1"/>
  <c r="F228" i="9" a="1"/>
  <c r="F228" i="9" s="1"/>
  <c r="F229" i="9" a="1"/>
  <c r="F229" i="9"/>
  <c r="F230" i="9" a="1"/>
  <c r="F230" i="9" s="1"/>
  <c r="F231" i="9" a="1"/>
  <c r="F231" i="9" s="1"/>
  <c r="F232" i="9" a="1"/>
  <c r="F232" i="9" s="1"/>
  <c r="F233" i="9" a="1"/>
  <c r="F233" i="9"/>
  <c r="F234" i="9" a="1"/>
  <c r="F234" i="9" s="1"/>
  <c r="F235" i="9" a="1"/>
  <c r="F235" i="9" s="1"/>
  <c r="J235" i="9" s="1"/>
  <c r="F236" i="9" a="1"/>
  <c r="F236" i="9"/>
  <c r="H236" i="9" s="1"/>
  <c r="F237" i="9" a="1"/>
  <c r="F237" i="9" s="1"/>
  <c r="F238" i="9" a="1"/>
  <c r="F238" i="9" s="1"/>
  <c r="F239" i="9" a="1"/>
  <c r="F239" i="9"/>
  <c r="F240" i="9" a="1"/>
  <c r="F240" i="9" s="1"/>
  <c r="F241" i="9" a="1"/>
  <c r="F241" i="9" s="1"/>
  <c r="F242" i="9" a="1"/>
  <c r="F242" i="9" s="1"/>
  <c r="F243" i="9" a="1"/>
  <c r="F243" i="9" s="1"/>
  <c r="H243" i="9" s="1"/>
  <c r="F244" i="9" a="1"/>
  <c r="F244" i="9" s="1"/>
  <c r="F245" i="9" a="1"/>
  <c r="F245" i="9" s="1"/>
  <c r="F246" i="9" a="1"/>
  <c r="F246" i="9"/>
  <c r="H246" i="9" s="1"/>
  <c r="F247" i="9" a="1"/>
  <c r="F247" i="9"/>
  <c r="F248" i="9" a="1"/>
  <c r="F248" i="9" s="1"/>
  <c r="F249" i="9" a="1"/>
  <c r="F249" i="9" s="1"/>
  <c r="F250" i="9" a="1"/>
  <c r="F250" i="9" s="1"/>
  <c r="F251" i="9" a="1"/>
  <c r="F251" i="9"/>
  <c r="H251" i="9" s="1"/>
  <c r="F252" i="9" a="1"/>
  <c r="F252" i="9" s="1"/>
  <c r="H252" i="9" s="1"/>
  <c r="F253" i="9" a="1"/>
  <c r="F253" i="9"/>
  <c r="J253" i="9" s="1"/>
  <c r="F254" i="9" a="1"/>
  <c r="F254" i="9"/>
  <c r="H254" i="9" s="1"/>
  <c r="F255" i="9" a="1"/>
  <c r="F255" i="9" s="1"/>
  <c r="F256" i="9" a="1"/>
  <c r="F256" i="9" s="1"/>
  <c r="F257" i="9" a="1"/>
  <c r="F257" i="9" s="1"/>
  <c r="F258" i="9" a="1"/>
  <c r="F258" i="9"/>
  <c r="F259" i="9" a="1"/>
  <c r="F259" i="9" s="1"/>
  <c r="J259" i="9" s="1"/>
  <c r="F260" i="9" a="1"/>
  <c r="F260" i="9" s="1"/>
  <c r="J260" i="9" s="1"/>
  <c r="F261" i="9" a="1"/>
  <c r="F261" i="9" s="1"/>
  <c r="H261" i="9" s="1"/>
  <c r="F262" i="9" a="1"/>
  <c r="F262" i="9" s="1"/>
  <c r="H262" i="9" s="1"/>
  <c r="F263" i="9" a="1"/>
  <c r="F263" i="9" s="1"/>
  <c r="H263" i="9" s="1"/>
  <c r="F264" i="9" a="1"/>
  <c r="F264" i="9" s="1"/>
  <c r="F265" i="9" a="1"/>
  <c r="F265" i="9"/>
  <c r="F266" i="9" a="1"/>
  <c r="F266" i="9" s="1"/>
  <c r="F267" i="9" a="1"/>
  <c r="F267" i="9" s="1"/>
  <c r="F268" i="9" a="1"/>
  <c r="F268" i="9" s="1"/>
  <c r="F269" i="9" a="1"/>
  <c r="F269" i="9"/>
  <c r="F270" i="9" a="1"/>
  <c r="F270" i="9" s="1"/>
  <c r="F271" i="9" a="1"/>
  <c r="F271" i="9" s="1"/>
  <c r="F272" i="9" a="1"/>
  <c r="F272" i="9"/>
  <c r="F273" i="9" a="1"/>
  <c r="F273" i="9" s="1"/>
  <c r="F274" i="9" a="1"/>
  <c r="F274" i="9" s="1"/>
  <c r="F275" i="9" a="1"/>
  <c r="F275" i="9"/>
  <c r="F276" i="9" a="1"/>
  <c r="F276" i="9" s="1"/>
  <c r="F277" i="9" a="1"/>
  <c r="F277" i="9" s="1"/>
  <c r="F278" i="9" a="1"/>
  <c r="F278" i="9" s="1"/>
  <c r="F279" i="9" a="1"/>
  <c r="F279" i="9" s="1"/>
  <c r="F280" i="9" a="1"/>
  <c r="F280" i="9" s="1"/>
  <c r="F281" i="9" a="1"/>
  <c r="F281" i="9" s="1"/>
  <c r="H281" i="9" s="1"/>
  <c r="F282" i="9" a="1"/>
  <c r="F282" i="9"/>
  <c r="H282" i="9" s="1"/>
  <c r="F283" i="9" a="1"/>
  <c r="F283" i="9"/>
  <c r="J283" i="9" s="1"/>
  <c r="F284" i="9" a="1"/>
  <c r="F284" i="9" s="1"/>
  <c r="F285" i="9" a="1"/>
  <c r="F285" i="9" s="1"/>
  <c r="F286" i="9" a="1"/>
  <c r="F286" i="9" s="1"/>
  <c r="F287" i="9" a="1"/>
  <c r="F287" i="9"/>
  <c r="F288" i="9" a="1"/>
  <c r="F288" i="9" s="1"/>
  <c r="F289" i="9" a="1"/>
  <c r="F289" i="9"/>
  <c r="F290" i="9" a="1"/>
  <c r="F290" i="9"/>
  <c r="F291" i="9" a="1"/>
  <c r="F291" i="9" s="1"/>
  <c r="H291" i="9" s="1"/>
  <c r="F292" i="9" a="1"/>
  <c r="F292" i="9" s="1"/>
  <c r="F293" i="9" a="1"/>
  <c r="F293" i="9" s="1"/>
  <c r="F294" i="9" a="1"/>
  <c r="F294" i="9"/>
  <c r="F295" i="9" a="1"/>
  <c r="F295" i="9" s="1"/>
  <c r="F296" i="9" a="1"/>
  <c r="F296" i="9" s="1"/>
  <c r="F297" i="9" a="1"/>
  <c r="F297" i="9" s="1"/>
  <c r="F298" i="9" a="1"/>
  <c r="F298" i="9" s="1"/>
  <c r="F299" i="9" a="1"/>
  <c r="F299" i="9" s="1"/>
  <c r="F300" i="9" a="1"/>
  <c r="F300" i="9" s="1"/>
  <c r="J300" i="9" s="1"/>
  <c r="F301" i="9" a="1"/>
  <c r="F301" i="9"/>
  <c r="J301" i="9" s="1"/>
  <c r="F302" i="9" a="1"/>
  <c r="F302" i="9" s="1"/>
  <c r="F303" i="9" a="1"/>
  <c r="F303" i="9" s="1"/>
  <c r="F304" i="9" a="1"/>
  <c r="F304" i="9" s="1"/>
  <c r="F305" i="9" a="1"/>
  <c r="F305" i="9"/>
  <c r="F306" i="9" a="1"/>
  <c r="F306" i="9" s="1"/>
  <c r="F307" i="9" a="1"/>
  <c r="F307" i="9" s="1"/>
  <c r="J307" i="9" s="1"/>
  <c r="F308" i="9" a="1"/>
  <c r="F308" i="9"/>
  <c r="J308" i="9" s="1"/>
  <c r="F309" i="9" a="1"/>
  <c r="F309" i="9" s="1"/>
  <c r="F310" i="9" a="1"/>
  <c r="F310" i="9" s="1"/>
  <c r="F311" i="9" a="1"/>
  <c r="F311" i="9"/>
  <c r="F312" i="9" a="1"/>
  <c r="F312" i="9" s="1"/>
  <c r="F313" i="9" a="1"/>
  <c r="F313" i="9" s="1"/>
  <c r="F314" i="9" a="1"/>
  <c r="F314" i="9" s="1"/>
  <c r="F315" i="9" a="1"/>
  <c r="F315" i="9" s="1"/>
  <c r="F316" i="9" a="1"/>
  <c r="F316" i="9" s="1"/>
  <c r="F317" i="9" a="1"/>
  <c r="F317" i="9" s="1"/>
  <c r="F318" i="9" a="1"/>
  <c r="F318" i="9"/>
  <c r="J318" i="9" s="1"/>
  <c r="F319" i="9" a="1"/>
  <c r="F319" i="9"/>
  <c r="F320" i="9" a="1"/>
  <c r="F320" i="9" s="1"/>
  <c r="F321" i="9" a="1"/>
  <c r="F321" i="9" s="1"/>
  <c r="F322" i="9" a="1"/>
  <c r="F322" i="9" s="1"/>
  <c r="F323" i="9" a="1"/>
  <c r="F323" i="9"/>
  <c r="F324" i="9" a="1"/>
  <c r="F324" i="9" s="1"/>
  <c r="F325" i="9" a="1"/>
  <c r="F325" i="9"/>
  <c r="J325" i="9"/>
  <c r="J286" i="9"/>
  <c r="H284" i="9"/>
  <c r="J234" i="9"/>
  <c r="J197" i="9"/>
  <c r="J196" i="9"/>
  <c r="J171" i="9"/>
  <c r="J141" i="9"/>
  <c r="J114" i="9"/>
  <c r="H106" i="9"/>
  <c r="J99" i="9"/>
  <c r="J82" i="9"/>
  <c r="J76" i="9"/>
  <c r="J59" i="9"/>
  <c r="J42" i="9"/>
  <c r="J35" i="9"/>
  <c r="H16" i="9"/>
  <c r="H20" i="9"/>
  <c r="J41" i="9"/>
  <c r="J52" i="9"/>
  <c r="H203" i="9"/>
  <c r="J205" i="9"/>
  <c r="H215" i="9"/>
  <c r="H258" i="9"/>
  <c r="H277" i="9"/>
  <c r="H253" i="9"/>
  <c r="J251" i="9"/>
  <c r="H250" i="9"/>
  <c r="H219" i="9"/>
  <c r="J215" i="9"/>
  <c r="J178" i="9"/>
  <c r="J140" i="9"/>
  <c r="J139" i="9"/>
  <c r="H126" i="9"/>
  <c r="H79" i="9"/>
  <c r="H75" i="9"/>
  <c r="H65" i="9"/>
  <c r="H49" i="9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B76" i="8"/>
  <c r="B75" i="8"/>
  <c r="B74" i="8"/>
  <c r="B73" i="8"/>
  <c r="B72" i="8"/>
  <c r="B71" i="8"/>
  <c r="B70" i="8"/>
  <c r="D70" i="8" s="1"/>
  <c r="E70" i="8" s="1"/>
  <c r="B69" i="8"/>
  <c r="F69" i="8" s="1"/>
  <c r="B68" i="8"/>
  <c r="F68" i="8" s="1"/>
  <c r="B67" i="8"/>
  <c r="C76" i="8"/>
  <c r="C75" i="8"/>
  <c r="C74" i="8"/>
  <c r="C73" i="8"/>
  <c r="D73" i="8" s="1"/>
  <c r="E73" i="8" s="1"/>
  <c r="C72" i="8"/>
  <c r="D72" i="8" s="1"/>
  <c r="E72" i="8" s="1"/>
  <c r="C71" i="8"/>
  <c r="C70" i="8"/>
  <c r="C69" i="8"/>
  <c r="C68" i="8"/>
  <c r="C67" i="8"/>
  <c r="F76" i="8"/>
  <c r="F75" i="8"/>
  <c r="F74" i="8"/>
  <c r="D74" i="8"/>
  <c r="E74" i="8" s="1"/>
  <c r="F71" i="8"/>
  <c r="D67" i="8"/>
  <c r="E67" i="8" s="1"/>
  <c r="C63" i="8"/>
  <c r="C62" i="8"/>
  <c r="C61" i="8"/>
  <c r="C60" i="8"/>
  <c r="C59" i="8"/>
  <c r="C58" i="8"/>
  <c r="C57" i="8"/>
  <c r="C56" i="8"/>
  <c r="C55" i="8"/>
  <c r="C54" i="8"/>
  <c r="B63" i="8"/>
  <c r="B62" i="8"/>
  <c r="B61" i="8"/>
  <c r="D61" i="8" s="1"/>
  <c r="E61" i="8" s="1"/>
  <c r="B60" i="8"/>
  <c r="B59" i="8"/>
  <c r="B58" i="8"/>
  <c r="B57" i="8"/>
  <c r="B56" i="8"/>
  <c r="F56" i="8" s="1"/>
  <c r="B55" i="8"/>
  <c r="B54" i="8"/>
  <c r="F62" i="8"/>
  <c r="F61" i="8"/>
  <c r="D60" i="8"/>
  <c r="E60" i="8" s="1"/>
  <c r="F60" i="8"/>
  <c r="F58" i="8"/>
  <c r="F57" i="8"/>
  <c r="D56" i="8"/>
  <c r="E56" i="8" s="1"/>
  <c r="D55" i="8"/>
  <c r="E55" i="8" s="1"/>
  <c r="F54" i="8"/>
  <c r="B37" i="8"/>
  <c r="B36" i="8"/>
  <c r="B35" i="8"/>
  <c r="B34" i="8"/>
  <c r="B33" i="8"/>
  <c r="B32" i="8"/>
  <c r="F32" i="8" s="1"/>
  <c r="B31" i="8"/>
  <c r="F31" i="8" s="1"/>
  <c r="B30" i="8"/>
  <c r="B29" i="8"/>
  <c r="B28" i="8"/>
  <c r="C37" i="8"/>
  <c r="C36" i="8"/>
  <c r="C35" i="8"/>
  <c r="D35" i="8" s="1"/>
  <c r="E35" i="8" s="1"/>
  <c r="C34" i="8"/>
  <c r="F34" i="8" s="1"/>
  <c r="C33" i="8"/>
  <c r="C32" i="8"/>
  <c r="C31" i="8"/>
  <c r="C30" i="8"/>
  <c r="F30" i="8" s="1"/>
  <c r="C29" i="8"/>
  <c r="C28" i="8"/>
  <c r="F37" i="8"/>
  <c r="F36" i="8"/>
  <c r="F35" i="8"/>
  <c r="F33" i="8"/>
  <c r="D32" i="8"/>
  <c r="E32" i="8" s="1"/>
  <c r="F29" i="8"/>
  <c r="D28" i="8"/>
  <c r="E28" i="8" s="1"/>
  <c r="C50" i="8"/>
  <c r="C49" i="8"/>
  <c r="C48" i="8"/>
  <c r="C47" i="8"/>
  <c r="C46" i="8"/>
  <c r="C45" i="8"/>
  <c r="C44" i="8"/>
  <c r="F44" i="8" s="1"/>
  <c r="C43" i="8"/>
  <c r="F43" i="8" s="1"/>
  <c r="C42" i="8"/>
  <c r="F42" i="8" s="1"/>
  <c r="C41" i="8"/>
  <c r="B50" i="8"/>
  <c r="B49" i="8"/>
  <c r="B48" i="8"/>
  <c r="B47" i="8"/>
  <c r="F47" i="8" s="1"/>
  <c r="B46" i="8"/>
  <c r="B45" i="8"/>
  <c r="B44" i="8"/>
  <c r="B43" i="8"/>
  <c r="B42" i="8"/>
  <c r="B41" i="8"/>
  <c r="F50" i="8"/>
  <c r="D49" i="8"/>
  <c r="E49" i="8" s="1"/>
  <c r="F49" i="8"/>
  <c r="F48" i="8"/>
  <c r="D48" i="8"/>
  <c r="E48" i="8" s="1"/>
  <c r="D47" i="8"/>
  <c r="E47" i="8" s="1"/>
  <c r="F46" i="8"/>
  <c r="D45" i="8"/>
  <c r="E45" i="8" s="1"/>
  <c r="F45" i="8"/>
  <c r="D42" i="8"/>
  <c r="E42" i="8" s="1"/>
  <c r="B24" i="8"/>
  <c r="B23" i="8"/>
  <c r="B22" i="8"/>
  <c r="F22" i="8" s="1"/>
  <c r="B21" i="8"/>
  <c r="F21" i="8" s="1"/>
  <c r="B20" i="8"/>
  <c r="B19" i="8"/>
  <c r="F19" i="8" s="1"/>
  <c r="B18" i="8"/>
  <c r="B17" i="8"/>
  <c r="B16" i="8"/>
  <c r="B15" i="8"/>
  <c r="C24" i="8"/>
  <c r="C23" i="8"/>
  <c r="C22" i="8"/>
  <c r="C21" i="8"/>
  <c r="C20" i="8"/>
  <c r="C19" i="8"/>
  <c r="C18" i="8"/>
  <c r="C17" i="8"/>
  <c r="C16" i="8"/>
  <c r="C15" i="8"/>
  <c r="F24" i="8"/>
  <c r="F23" i="8"/>
  <c r="F20" i="8"/>
  <c r="F18" i="8"/>
  <c r="F17" i="8"/>
  <c r="D17" i="8"/>
  <c r="E17" i="8" s="1"/>
  <c r="F16" i="8"/>
  <c r="F15" i="8"/>
  <c r="C9" i="8"/>
  <c r="D11" i="8"/>
  <c r="F4" i="8"/>
  <c r="F5" i="8"/>
  <c r="F6" i="8"/>
  <c r="F7" i="8"/>
  <c r="F8" i="8"/>
  <c r="F9" i="8"/>
  <c r="F3" i="8"/>
  <c r="F11" i="8"/>
  <c r="F10" i="8"/>
  <c r="F2" i="8"/>
  <c r="E3" i="8"/>
  <c r="E4" i="8"/>
  <c r="E5" i="8"/>
  <c r="E6" i="8"/>
  <c r="E7" i="8"/>
  <c r="E8" i="8"/>
  <c r="E10" i="8"/>
  <c r="E2" i="8"/>
  <c r="D10" i="8"/>
  <c r="D9" i="8"/>
  <c r="E9" i="8" s="1"/>
  <c r="D8" i="8"/>
  <c r="D7" i="8"/>
  <c r="D6" i="8"/>
  <c r="D5" i="8"/>
  <c r="D4" i="8"/>
  <c r="D3" i="8"/>
  <c r="D2" i="8"/>
  <c r="C11" i="8"/>
  <c r="C10" i="8"/>
  <c r="C8" i="8"/>
  <c r="C7" i="8"/>
  <c r="C6" i="8"/>
  <c r="C5" i="8"/>
  <c r="C4" i="8"/>
  <c r="C3" i="8"/>
  <c r="C2" i="8"/>
  <c r="B11" i="8"/>
  <c r="B10" i="8"/>
  <c r="B9" i="8"/>
  <c r="B8" i="8"/>
  <c r="B7" i="8"/>
  <c r="B6" i="8"/>
  <c r="B5" i="8"/>
  <c r="B4" i="8"/>
  <c r="B3" i="8"/>
  <c r="B2" i="8"/>
  <c r="N70" i="7"/>
  <c r="H63" i="7"/>
  <c r="C55" i="7"/>
  <c r="D55" i="7"/>
  <c r="E55" i="7"/>
  <c r="F55" i="7"/>
  <c r="G55" i="7"/>
  <c r="H55" i="7"/>
  <c r="I55" i="7"/>
  <c r="J55" i="7"/>
  <c r="K55" i="7"/>
  <c r="L55" i="7"/>
  <c r="L66" i="7" s="1"/>
  <c r="M55" i="7"/>
  <c r="M66" i="7" s="1"/>
  <c r="N55" i="7"/>
  <c r="B55" i="7"/>
  <c r="N51" i="7"/>
  <c r="N52" i="7"/>
  <c r="N53" i="7"/>
  <c r="N54" i="7"/>
  <c r="N50" i="7"/>
  <c r="C46" i="7"/>
  <c r="D46" i="7"/>
  <c r="E46" i="7"/>
  <c r="F46" i="7"/>
  <c r="F65" i="7" s="1"/>
  <c r="G46" i="7"/>
  <c r="H46" i="7"/>
  <c r="I46" i="7"/>
  <c r="I65" i="7" s="1"/>
  <c r="J46" i="7"/>
  <c r="J65" i="7" s="1"/>
  <c r="K46" i="7"/>
  <c r="L46" i="7"/>
  <c r="M46" i="7"/>
  <c r="N46" i="7"/>
  <c r="B46" i="7"/>
  <c r="N43" i="7"/>
  <c r="N44" i="7"/>
  <c r="N45" i="7"/>
  <c r="N42" i="7"/>
  <c r="C38" i="7"/>
  <c r="D38" i="7"/>
  <c r="E38" i="7"/>
  <c r="F38" i="7"/>
  <c r="G38" i="7"/>
  <c r="H38" i="7"/>
  <c r="I38" i="7"/>
  <c r="J38" i="7"/>
  <c r="J64" i="7" s="1"/>
  <c r="K38" i="7"/>
  <c r="K64" i="7" s="1"/>
  <c r="L38" i="7"/>
  <c r="M38" i="7"/>
  <c r="M64" i="7" s="1"/>
  <c r="N38" i="7"/>
  <c r="B38" i="7"/>
  <c r="N35" i="7"/>
  <c r="N36" i="7"/>
  <c r="N37" i="7"/>
  <c r="N34" i="7"/>
  <c r="C30" i="7"/>
  <c r="D30" i="7"/>
  <c r="E30" i="7"/>
  <c r="F30" i="7"/>
  <c r="G30" i="7"/>
  <c r="H30" i="7"/>
  <c r="I30" i="7"/>
  <c r="J30" i="7"/>
  <c r="K30" i="7"/>
  <c r="L30" i="7"/>
  <c r="M30" i="7"/>
  <c r="N30" i="7"/>
  <c r="B30" i="7"/>
  <c r="N27" i="7"/>
  <c r="N28" i="7"/>
  <c r="N29" i="7"/>
  <c r="N26" i="7"/>
  <c r="C22" i="7"/>
  <c r="D22" i="7"/>
  <c r="E22" i="7"/>
  <c r="F22" i="7"/>
  <c r="G22" i="7"/>
  <c r="H22" i="7"/>
  <c r="I22" i="7"/>
  <c r="J22" i="7"/>
  <c r="K22" i="7"/>
  <c r="L22" i="7"/>
  <c r="M22" i="7"/>
  <c r="N22" i="7"/>
  <c r="B22" i="7"/>
  <c r="N18" i="7"/>
  <c r="N19" i="7"/>
  <c r="N20" i="7"/>
  <c r="N21" i="7"/>
  <c r="N17" i="7"/>
  <c r="C13" i="7"/>
  <c r="D13" i="7"/>
  <c r="E13" i="7"/>
  <c r="F13" i="7"/>
  <c r="G13" i="7"/>
  <c r="H13" i="7"/>
  <c r="I13" i="7"/>
  <c r="I61" i="7" s="1"/>
  <c r="J13" i="7"/>
  <c r="J61" i="7" s="1"/>
  <c r="K13" i="7"/>
  <c r="K61" i="7" s="1"/>
  <c r="L13" i="7"/>
  <c r="M13" i="7"/>
  <c r="N13" i="7"/>
  <c r="B13" i="7"/>
  <c r="N9" i="7"/>
  <c r="N10" i="7"/>
  <c r="N11" i="7"/>
  <c r="N12" i="7"/>
  <c r="N8" i="7"/>
  <c r="C4" i="7"/>
  <c r="D4" i="7"/>
  <c r="E4" i="7"/>
  <c r="F4" i="7"/>
  <c r="G4" i="7"/>
  <c r="G59" i="7" s="1"/>
  <c r="H4" i="7"/>
  <c r="I4" i="7"/>
  <c r="J4" i="7"/>
  <c r="K4" i="7"/>
  <c r="L4" i="7"/>
  <c r="M4" i="7"/>
  <c r="B4" i="7"/>
  <c r="N4" i="7" s="1"/>
  <c r="N3" i="7"/>
  <c r="N2" i="7"/>
  <c r="C66" i="7"/>
  <c r="E66" i="7"/>
  <c r="D66" i="7"/>
  <c r="G65" i="7"/>
  <c r="H65" i="7"/>
  <c r="E65" i="7"/>
  <c r="L64" i="7"/>
  <c r="C64" i="7"/>
  <c r="G63" i="7"/>
  <c r="J59" i="7"/>
  <c r="H59" i="7"/>
  <c r="C55" i="6"/>
  <c r="D55" i="6"/>
  <c r="E55" i="6"/>
  <c r="F55" i="6"/>
  <c r="G55" i="6"/>
  <c r="H55" i="6"/>
  <c r="N55" i="6" s="1"/>
  <c r="I55" i="6"/>
  <c r="J55" i="6"/>
  <c r="K55" i="6"/>
  <c r="L55" i="6"/>
  <c r="M55" i="6"/>
  <c r="M66" i="6" s="1"/>
  <c r="B55" i="6"/>
  <c r="N51" i="6"/>
  <c r="N52" i="6"/>
  <c r="N53" i="6"/>
  <c r="N54" i="6"/>
  <c r="N50" i="6"/>
  <c r="N46" i="6"/>
  <c r="C46" i="6"/>
  <c r="D46" i="6"/>
  <c r="E46" i="6"/>
  <c r="F46" i="6"/>
  <c r="G46" i="6"/>
  <c r="H46" i="6"/>
  <c r="I46" i="6"/>
  <c r="I65" i="6" s="1"/>
  <c r="J46" i="6"/>
  <c r="K46" i="6"/>
  <c r="L46" i="6"/>
  <c r="M46" i="6"/>
  <c r="B46" i="6"/>
  <c r="N43" i="6"/>
  <c r="N44" i="6"/>
  <c r="N45" i="6"/>
  <c r="N42" i="6"/>
  <c r="C38" i="6"/>
  <c r="D38" i="6"/>
  <c r="E38" i="6"/>
  <c r="F38" i="6"/>
  <c r="G38" i="6"/>
  <c r="H38" i="6"/>
  <c r="I38" i="6"/>
  <c r="J38" i="6"/>
  <c r="K38" i="6"/>
  <c r="L38" i="6"/>
  <c r="L64" i="6" s="1"/>
  <c r="M38" i="6"/>
  <c r="M64" i="6" s="1"/>
  <c r="B38" i="6"/>
  <c r="N38" i="6" s="1"/>
  <c r="N35" i="6"/>
  <c r="N36" i="6"/>
  <c r="N37" i="6"/>
  <c r="N34" i="6"/>
  <c r="N30" i="6"/>
  <c r="N27" i="6"/>
  <c r="N28" i="6"/>
  <c r="N29" i="6"/>
  <c r="N26" i="6"/>
  <c r="C22" i="6"/>
  <c r="D22" i="6"/>
  <c r="E22" i="6"/>
  <c r="F22" i="6"/>
  <c r="G22" i="6"/>
  <c r="H22" i="6"/>
  <c r="I22" i="6"/>
  <c r="J22" i="6"/>
  <c r="K22" i="6"/>
  <c r="L22" i="6"/>
  <c r="M22" i="6"/>
  <c r="B22" i="6"/>
  <c r="N22" i="6" s="1"/>
  <c r="N18" i="6"/>
  <c r="N19" i="6"/>
  <c r="N20" i="6"/>
  <c r="N21" i="6"/>
  <c r="N17" i="6"/>
  <c r="C13" i="6"/>
  <c r="D13" i="6"/>
  <c r="E13" i="6"/>
  <c r="F13" i="6"/>
  <c r="G13" i="6"/>
  <c r="H13" i="6"/>
  <c r="I13" i="6"/>
  <c r="J13" i="6"/>
  <c r="K13" i="6"/>
  <c r="L13" i="6"/>
  <c r="M13" i="6"/>
  <c r="B13" i="6"/>
  <c r="N13" i="6" s="1"/>
  <c r="N9" i="6"/>
  <c r="N10" i="6"/>
  <c r="N11" i="6"/>
  <c r="N12" i="6"/>
  <c r="N8" i="6"/>
  <c r="N3" i="6"/>
  <c r="N4" i="6"/>
  <c r="N2" i="6"/>
  <c r="C4" i="6"/>
  <c r="D4" i="6"/>
  <c r="E4" i="6"/>
  <c r="F4" i="6"/>
  <c r="G4" i="6"/>
  <c r="H4" i="6"/>
  <c r="H59" i="6" s="1"/>
  <c r="I4" i="6"/>
  <c r="J4" i="6"/>
  <c r="K4" i="6"/>
  <c r="L4" i="6"/>
  <c r="M4" i="6"/>
  <c r="B4" i="6"/>
  <c r="B66" i="6"/>
  <c r="H65" i="6"/>
  <c r="G65" i="6"/>
  <c r="F65" i="6"/>
  <c r="E65" i="6"/>
  <c r="C64" i="6"/>
  <c r="K64" i="6"/>
  <c r="J64" i="6"/>
  <c r="B64" i="6"/>
  <c r="G30" i="6"/>
  <c r="G63" i="6" s="1"/>
  <c r="K61" i="6"/>
  <c r="B70" i="5"/>
  <c r="C55" i="5"/>
  <c r="D55" i="5"/>
  <c r="E55" i="5"/>
  <c r="F55" i="5"/>
  <c r="G55" i="5"/>
  <c r="H55" i="5"/>
  <c r="N55" i="5" s="1"/>
  <c r="I55" i="5"/>
  <c r="J55" i="5"/>
  <c r="K55" i="5"/>
  <c r="L55" i="5"/>
  <c r="L66" i="5" s="1"/>
  <c r="M55" i="5"/>
  <c r="B55" i="5"/>
  <c r="N51" i="5"/>
  <c r="N52" i="5"/>
  <c r="N53" i="5"/>
  <c r="N54" i="5"/>
  <c r="N50" i="5"/>
  <c r="D66" i="5"/>
  <c r="C66" i="5"/>
  <c r="C46" i="5"/>
  <c r="D46" i="5"/>
  <c r="E46" i="5"/>
  <c r="F46" i="5"/>
  <c r="G46" i="5"/>
  <c r="G65" i="5" s="1"/>
  <c r="H46" i="5"/>
  <c r="H65" i="5" s="1"/>
  <c r="I46" i="5"/>
  <c r="I65" i="5" s="1"/>
  <c r="J46" i="5"/>
  <c r="K46" i="5"/>
  <c r="L46" i="5"/>
  <c r="M46" i="5"/>
  <c r="B46" i="5"/>
  <c r="N43" i="5"/>
  <c r="N44" i="5"/>
  <c r="N45" i="5"/>
  <c r="N42" i="5"/>
  <c r="C38" i="5"/>
  <c r="D38" i="5"/>
  <c r="N38" i="5" s="1"/>
  <c r="E38" i="5"/>
  <c r="F38" i="5"/>
  <c r="G38" i="5"/>
  <c r="H38" i="5"/>
  <c r="I38" i="5"/>
  <c r="J38" i="5"/>
  <c r="J64" i="5" s="1"/>
  <c r="K38" i="5"/>
  <c r="L38" i="5"/>
  <c r="M38" i="5"/>
  <c r="B38" i="5"/>
  <c r="N35" i="5"/>
  <c r="N36" i="5"/>
  <c r="N37" i="5"/>
  <c r="N34" i="5"/>
  <c r="C30" i="5"/>
  <c r="D30" i="5"/>
  <c r="E30" i="5"/>
  <c r="F30" i="5"/>
  <c r="G30" i="5"/>
  <c r="H30" i="5"/>
  <c r="I30" i="5"/>
  <c r="J30" i="5"/>
  <c r="K30" i="5"/>
  <c r="L30" i="5"/>
  <c r="M30" i="5"/>
  <c r="B30" i="5"/>
  <c r="N30" i="5" s="1"/>
  <c r="N27" i="5"/>
  <c r="N28" i="5"/>
  <c r="N29" i="5"/>
  <c r="N26" i="5"/>
  <c r="N22" i="5"/>
  <c r="N18" i="5"/>
  <c r="N19" i="5"/>
  <c r="N20" i="5"/>
  <c r="N21" i="5"/>
  <c r="N17" i="5"/>
  <c r="B22" i="5"/>
  <c r="C22" i="5"/>
  <c r="D22" i="5"/>
  <c r="E22" i="5"/>
  <c r="F22" i="5"/>
  <c r="G22" i="5"/>
  <c r="H22" i="5"/>
  <c r="I22" i="5"/>
  <c r="J22" i="5"/>
  <c r="K22" i="5"/>
  <c r="L22" i="5"/>
  <c r="M22" i="5"/>
  <c r="C13" i="5"/>
  <c r="D13" i="5"/>
  <c r="E13" i="5"/>
  <c r="F13" i="5"/>
  <c r="G13" i="5"/>
  <c r="H13" i="5"/>
  <c r="I13" i="5"/>
  <c r="I61" i="5" s="1"/>
  <c r="J13" i="5"/>
  <c r="K13" i="5"/>
  <c r="L13" i="5"/>
  <c r="M13" i="5"/>
  <c r="B13" i="5"/>
  <c r="N13" i="5" s="1"/>
  <c r="N9" i="5"/>
  <c r="N10" i="5"/>
  <c r="N11" i="5"/>
  <c r="N12" i="5"/>
  <c r="N8" i="5"/>
  <c r="N2" i="5"/>
  <c r="C4" i="5"/>
  <c r="D4" i="5"/>
  <c r="E4" i="5"/>
  <c r="F4" i="5"/>
  <c r="G4" i="5"/>
  <c r="H4" i="5"/>
  <c r="I4" i="5"/>
  <c r="J4" i="5"/>
  <c r="K4" i="5"/>
  <c r="L4" i="5"/>
  <c r="M4" i="5"/>
  <c r="B4" i="5"/>
  <c r="N4" i="5" s="1"/>
  <c r="N3" i="5"/>
  <c r="J59" i="5"/>
  <c r="E66" i="5"/>
  <c r="J65" i="5"/>
  <c r="F65" i="5"/>
  <c r="E65" i="5"/>
  <c r="K64" i="5"/>
  <c r="C64" i="5"/>
  <c r="M64" i="5"/>
  <c r="L64" i="5"/>
  <c r="N70" i="3"/>
  <c r="N70" i="4"/>
  <c r="C50" i="4"/>
  <c r="D50" i="4"/>
  <c r="D51" i="4" s="1"/>
  <c r="D55" i="4" s="1"/>
  <c r="D66" i="4" s="1"/>
  <c r="E50" i="4"/>
  <c r="E51" i="4" s="1"/>
  <c r="E55" i="4" s="1"/>
  <c r="E66" i="4" s="1"/>
  <c r="F50" i="4"/>
  <c r="G50" i="4"/>
  <c r="G51" i="4" s="1"/>
  <c r="H50" i="4"/>
  <c r="H51" i="4" s="1"/>
  <c r="I50" i="4"/>
  <c r="I51" i="4" s="1"/>
  <c r="J50" i="4"/>
  <c r="J51" i="4" s="1"/>
  <c r="K50" i="4"/>
  <c r="K51" i="4" s="1"/>
  <c r="L50" i="4"/>
  <c r="L51" i="4" s="1"/>
  <c r="M50" i="4"/>
  <c r="M51" i="4" s="1"/>
  <c r="C51" i="4"/>
  <c r="C55" i="4" s="1"/>
  <c r="C66" i="4" s="1"/>
  <c r="F51" i="4"/>
  <c r="C52" i="4"/>
  <c r="D52" i="4"/>
  <c r="E52" i="4"/>
  <c r="F52" i="4"/>
  <c r="G52" i="4"/>
  <c r="H52" i="4"/>
  <c r="I52" i="4"/>
  <c r="J52" i="4"/>
  <c r="K52" i="4"/>
  <c r="L52" i="4"/>
  <c r="M52" i="4"/>
  <c r="C53" i="4"/>
  <c r="D53" i="4"/>
  <c r="E53" i="4"/>
  <c r="F53" i="4"/>
  <c r="G53" i="4"/>
  <c r="H53" i="4"/>
  <c r="I53" i="4"/>
  <c r="J53" i="4"/>
  <c r="K53" i="4"/>
  <c r="L53" i="4"/>
  <c r="M53" i="4"/>
  <c r="C54" i="4"/>
  <c r="N54" i="4" s="1"/>
  <c r="D54" i="4"/>
  <c r="E54" i="4"/>
  <c r="F54" i="4"/>
  <c r="G54" i="4"/>
  <c r="H54" i="4"/>
  <c r="I54" i="4"/>
  <c r="J54" i="4"/>
  <c r="K54" i="4"/>
  <c r="L54" i="4"/>
  <c r="M54" i="4"/>
  <c r="B54" i="4"/>
  <c r="B53" i="4"/>
  <c r="B52" i="4"/>
  <c r="B51" i="4"/>
  <c r="B50" i="4"/>
  <c r="C42" i="4"/>
  <c r="D42" i="4"/>
  <c r="D43" i="4" s="1"/>
  <c r="E42" i="4"/>
  <c r="E43" i="4" s="1"/>
  <c r="F42" i="4"/>
  <c r="F43" i="4" s="1"/>
  <c r="G42" i="4"/>
  <c r="G43" i="4" s="1"/>
  <c r="G46" i="4" s="1"/>
  <c r="G65" i="4" s="1"/>
  <c r="H42" i="4"/>
  <c r="H43" i="4" s="1"/>
  <c r="I42" i="4"/>
  <c r="I43" i="4" s="1"/>
  <c r="I46" i="4" s="1"/>
  <c r="I65" i="4" s="1"/>
  <c r="J42" i="4"/>
  <c r="K42" i="4"/>
  <c r="K43" i="4" s="1"/>
  <c r="L42" i="4"/>
  <c r="L43" i="4" s="1"/>
  <c r="M42" i="4"/>
  <c r="M43" i="4" s="1"/>
  <c r="C43" i="4"/>
  <c r="C44" i="4"/>
  <c r="N44" i="4" s="1"/>
  <c r="D44" i="4"/>
  <c r="E44" i="4"/>
  <c r="F44" i="4"/>
  <c r="G44" i="4"/>
  <c r="H44" i="4"/>
  <c r="I44" i="4"/>
  <c r="J44" i="4"/>
  <c r="K44" i="4"/>
  <c r="L44" i="4"/>
  <c r="M44" i="4"/>
  <c r="C45" i="4"/>
  <c r="D45" i="4"/>
  <c r="E45" i="4"/>
  <c r="F45" i="4"/>
  <c r="G45" i="4"/>
  <c r="H45" i="4"/>
  <c r="I45" i="4"/>
  <c r="J45" i="4"/>
  <c r="K45" i="4"/>
  <c r="L45" i="4"/>
  <c r="M45" i="4"/>
  <c r="B45" i="4"/>
  <c r="B44" i="4"/>
  <c r="B43" i="4"/>
  <c r="B42" i="4"/>
  <c r="N42" i="4" s="1"/>
  <c r="C34" i="4"/>
  <c r="D34" i="4"/>
  <c r="E34" i="4"/>
  <c r="F34" i="4"/>
  <c r="G34" i="4"/>
  <c r="G35" i="4" s="1"/>
  <c r="H34" i="4"/>
  <c r="H35" i="4" s="1"/>
  <c r="I34" i="4"/>
  <c r="I35" i="4" s="1"/>
  <c r="J34" i="4"/>
  <c r="J35" i="4" s="1"/>
  <c r="K34" i="4"/>
  <c r="K35" i="4" s="1"/>
  <c r="L34" i="4"/>
  <c r="M34" i="4"/>
  <c r="M35" i="4" s="1"/>
  <c r="C35" i="4"/>
  <c r="C38" i="4" s="1"/>
  <c r="C64" i="4" s="1"/>
  <c r="D35" i="4"/>
  <c r="E35" i="4"/>
  <c r="F35" i="4"/>
  <c r="C36" i="4"/>
  <c r="D36" i="4"/>
  <c r="E36" i="4"/>
  <c r="F36" i="4"/>
  <c r="G36" i="4"/>
  <c r="H36" i="4"/>
  <c r="I36" i="4"/>
  <c r="J36" i="4"/>
  <c r="K36" i="4"/>
  <c r="L36" i="4"/>
  <c r="M36" i="4"/>
  <c r="C37" i="4"/>
  <c r="N37" i="4" s="1"/>
  <c r="D37" i="4"/>
  <c r="E37" i="4"/>
  <c r="F37" i="4"/>
  <c r="G37" i="4"/>
  <c r="H37" i="4"/>
  <c r="I37" i="4"/>
  <c r="J37" i="4"/>
  <c r="K37" i="4"/>
  <c r="L37" i="4"/>
  <c r="M37" i="4"/>
  <c r="B37" i="4"/>
  <c r="B36" i="4"/>
  <c r="B35" i="4"/>
  <c r="B34" i="4"/>
  <c r="C26" i="4"/>
  <c r="D26" i="4"/>
  <c r="E26" i="4"/>
  <c r="E27" i="4" s="1"/>
  <c r="F26" i="4"/>
  <c r="F27" i="4" s="1"/>
  <c r="G26" i="4"/>
  <c r="G27" i="4" s="1"/>
  <c r="H26" i="4"/>
  <c r="H27" i="4" s="1"/>
  <c r="I26" i="4"/>
  <c r="I27" i="4" s="1"/>
  <c r="J26" i="4"/>
  <c r="J27" i="4" s="1"/>
  <c r="K26" i="4"/>
  <c r="K27" i="4" s="1"/>
  <c r="L26" i="4"/>
  <c r="L27" i="4" s="1"/>
  <c r="M26" i="4"/>
  <c r="M27" i="4" s="1"/>
  <c r="C27" i="4"/>
  <c r="D27" i="4"/>
  <c r="C28" i="4"/>
  <c r="D28" i="4"/>
  <c r="E28" i="4"/>
  <c r="F28" i="4"/>
  <c r="G28" i="4"/>
  <c r="H28" i="4"/>
  <c r="I28" i="4"/>
  <c r="J28" i="4"/>
  <c r="K28" i="4"/>
  <c r="L28" i="4"/>
  <c r="M28" i="4"/>
  <c r="C29" i="4"/>
  <c r="D29" i="4"/>
  <c r="E29" i="4"/>
  <c r="F29" i="4"/>
  <c r="G29" i="4"/>
  <c r="H29" i="4"/>
  <c r="I29" i="4"/>
  <c r="J29" i="4"/>
  <c r="K29" i="4"/>
  <c r="L29" i="4"/>
  <c r="M29" i="4"/>
  <c r="B29" i="4"/>
  <c r="B28" i="4"/>
  <c r="B27" i="4"/>
  <c r="B26" i="4"/>
  <c r="N26" i="4" s="1"/>
  <c r="N22" i="4"/>
  <c r="C17" i="4"/>
  <c r="D17" i="4"/>
  <c r="E17" i="4"/>
  <c r="F17" i="4"/>
  <c r="G17" i="4"/>
  <c r="G18" i="4" s="1"/>
  <c r="H17" i="4"/>
  <c r="H18" i="4" s="1"/>
  <c r="I17" i="4"/>
  <c r="I18" i="4" s="1"/>
  <c r="J17" i="4"/>
  <c r="J18" i="4" s="1"/>
  <c r="K17" i="4"/>
  <c r="K18" i="4" s="1"/>
  <c r="L17" i="4"/>
  <c r="L18" i="4" s="1"/>
  <c r="M17" i="4"/>
  <c r="M18" i="4" s="1"/>
  <c r="C18" i="4"/>
  <c r="D18" i="4"/>
  <c r="E18" i="4"/>
  <c r="F18" i="4"/>
  <c r="C19" i="4"/>
  <c r="D19" i="4"/>
  <c r="E19" i="4"/>
  <c r="F19" i="4"/>
  <c r="G19" i="4"/>
  <c r="H19" i="4"/>
  <c r="I19" i="4"/>
  <c r="J19" i="4"/>
  <c r="K19" i="4"/>
  <c r="L19" i="4"/>
  <c r="M19" i="4"/>
  <c r="C20" i="4"/>
  <c r="D20" i="4"/>
  <c r="N20" i="4" s="1"/>
  <c r="E20" i="4"/>
  <c r="F20" i="4"/>
  <c r="G20" i="4"/>
  <c r="H20" i="4"/>
  <c r="I20" i="4"/>
  <c r="J20" i="4"/>
  <c r="K20" i="4"/>
  <c r="L20" i="4"/>
  <c r="M20" i="4"/>
  <c r="C21" i="4"/>
  <c r="D21" i="4"/>
  <c r="N21" i="4" s="1"/>
  <c r="E21" i="4"/>
  <c r="F21" i="4"/>
  <c r="G21" i="4"/>
  <c r="H21" i="4"/>
  <c r="I21" i="4"/>
  <c r="J21" i="4"/>
  <c r="K21" i="4"/>
  <c r="L21" i="4"/>
  <c r="M21" i="4"/>
  <c r="B21" i="4"/>
  <c r="B20" i="4"/>
  <c r="B19" i="4"/>
  <c r="B18" i="4"/>
  <c r="B17" i="4"/>
  <c r="C8" i="4"/>
  <c r="D8" i="4"/>
  <c r="E8" i="4"/>
  <c r="F8" i="4"/>
  <c r="G8" i="4"/>
  <c r="H8" i="4"/>
  <c r="I8" i="4"/>
  <c r="J8" i="4"/>
  <c r="K8" i="4"/>
  <c r="L8" i="4"/>
  <c r="M8" i="4"/>
  <c r="C9" i="4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N11" i="4" s="1"/>
  <c r="D11" i="4"/>
  <c r="E11" i="4"/>
  <c r="F11" i="4"/>
  <c r="G11" i="4"/>
  <c r="H11" i="4"/>
  <c r="I11" i="4"/>
  <c r="J11" i="4"/>
  <c r="K11" i="4"/>
  <c r="L11" i="4"/>
  <c r="M11" i="4"/>
  <c r="C12" i="4"/>
  <c r="D12" i="4"/>
  <c r="E12" i="4"/>
  <c r="F12" i="4"/>
  <c r="G12" i="4"/>
  <c r="H12" i="4"/>
  <c r="I12" i="4"/>
  <c r="J12" i="4"/>
  <c r="K12" i="4"/>
  <c r="L12" i="4"/>
  <c r="M12" i="4"/>
  <c r="B12" i="4"/>
  <c r="B11" i="4"/>
  <c r="B10" i="4"/>
  <c r="B9" i="4"/>
  <c r="B8" i="4"/>
  <c r="J3" i="4"/>
  <c r="C2" i="4"/>
  <c r="D2" i="4"/>
  <c r="E2" i="4"/>
  <c r="F2" i="4"/>
  <c r="G2" i="4"/>
  <c r="H2" i="4"/>
  <c r="I2" i="4"/>
  <c r="J2" i="4"/>
  <c r="K2" i="4"/>
  <c r="L2" i="4"/>
  <c r="M2" i="4"/>
  <c r="C3" i="4"/>
  <c r="D3" i="4"/>
  <c r="E3" i="4"/>
  <c r="F3" i="4"/>
  <c r="G3" i="4"/>
  <c r="H3" i="4"/>
  <c r="I3" i="4"/>
  <c r="K3" i="4"/>
  <c r="L3" i="4"/>
  <c r="M3" i="4"/>
  <c r="B3" i="4"/>
  <c r="B2" i="4"/>
  <c r="D29" i="1"/>
  <c r="D25" i="1"/>
  <c r="D26" i="1"/>
  <c r="D27" i="1"/>
  <c r="D28" i="1"/>
  <c r="D24" i="1"/>
  <c r="D20" i="1"/>
  <c r="C9" i="1"/>
  <c r="D9" i="1"/>
  <c r="C8" i="1"/>
  <c r="D8" i="1"/>
  <c r="D7" i="1"/>
  <c r="J4" i="4"/>
  <c r="H4" i="4"/>
  <c r="N52" i="3"/>
  <c r="N53" i="3"/>
  <c r="N54" i="3"/>
  <c r="N50" i="3"/>
  <c r="C50" i="3"/>
  <c r="D50" i="3"/>
  <c r="E50" i="3"/>
  <c r="E51" i="3" s="1"/>
  <c r="F50" i="3"/>
  <c r="G50" i="3"/>
  <c r="H50" i="3"/>
  <c r="H51" i="3" s="1"/>
  <c r="I50" i="3"/>
  <c r="I51" i="3" s="1"/>
  <c r="J50" i="3"/>
  <c r="J51" i="3" s="1"/>
  <c r="K50" i="3"/>
  <c r="K51" i="3" s="1"/>
  <c r="L50" i="3"/>
  <c r="L51" i="3" s="1"/>
  <c r="M50" i="3"/>
  <c r="M51" i="3" s="1"/>
  <c r="C51" i="3"/>
  <c r="N51" i="3" s="1"/>
  <c r="D51" i="3"/>
  <c r="F51" i="3"/>
  <c r="G51" i="3"/>
  <c r="C52" i="3"/>
  <c r="D52" i="3"/>
  <c r="E52" i="3"/>
  <c r="F52" i="3"/>
  <c r="G52" i="3"/>
  <c r="H52" i="3"/>
  <c r="I52" i="3"/>
  <c r="J52" i="3"/>
  <c r="K52" i="3"/>
  <c r="L52" i="3"/>
  <c r="M52" i="3"/>
  <c r="C53" i="3"/>
  <c r="D53" i="3"/>
  <c r="E53" i="3"/>
  <c r="F53" i="3"/>
  <c r="G53" i="3"/>
  <c r="H53" i="3"/>
  <c r="I53" i="3"/>
  <c r="J53" i="3"/>
  <c r="K53" i="3"/>
  <c r="L53" i="3"/>
  <c r="M53" i="3"/>
  <c r="C54" i="3"/>
  <c r="D54" i="3"/>
  <c r="E54" i="3"/>
  <c r="F54" i="3"/>
  <c r="G54" i="3"/>
  <c r="H54" i="3"/>
  <c r="I54" i="3"/>
  <c r="J54" i="3"/>
  <c r="K54" i="3"/>
  <c r="L54" i="3"/>
  <c r="M54" i="3"/>
  <c r="B54" i="3"/>
  <c r="B53" i="3"/>
  <c r="B52" i="3"/>
  <c r="B51" i="3"/>
  <c r="B50" i="3"/>
  <c r="C42" i="3"/>
  <c r="C43" i="3" s="1"/>
  <c r="D42" i="3"/>
  <c r="E42" i="3"/>
  <c r="E43" i="3" s="1"/>
  <c r="F42" i="3"/>
  <c r="G42" i="3"/>
  <c r="G43" i="3" s="1"/>
  <c r="G46" i="3" s="1"/>
  <c r="G65" i="3" s="1"/>
  <c r="H42" i="3"/>
  <c r="H43" i="3" s="1"/>
  <c r="I42" i="3"/>
  <c r="I43" i="3" s="1"/>
  <c r="J42" i="3"/>
  <c r="J43" i="3" s="1"/>
  <c r="K42" i="3"/>
  <c r="K43" i="3" s="1"/>
  <c r="L42" i="3"/>
  <c r="L43" i="3" s="1"/>
  <c r="M42" i="3"/>
  <c r="M43" i="3" s="1"/>
  <c r="D43" i="3"/>
  <c r="F43" i="3"/>
  <c r="C44" i="3"/>
  <c r="D44" i="3"/>
  <c r="E44" i="3"/>
  <c r="F44" i="3"/>
  <c r="G44" i="3"/>
  <c r="H44" i="3"/>
  <c r="I44" i="3"/>
  <c r="J44" i="3"/>
  <c r="K44" i="3"/>
  <c r="L44" i="3"/>
  <c r="M44" i="3"/>
  <c r="C45" i="3"/>
  <c r="D45" i="3"/>
  <c r="E45" i="3"/>
  <c r="F45" i="3"/>
  <c r="G45" i="3"/>
  <c r="H45" i="3"/>
  <c r="I45" i="3"/>
  <c r="J45" i="3"/>
  <c r="K45" i="3"/>
  <c r="L45" i="3"/>
  <c r="M45" i="3"/>
  <c r="B45" i="3"/>
  <c r="B44" i="3"/>
  <c r="B43" i="3"/>
  <c r="B42" i="3"/>
  <c r="B34" i="3"/>
  <c r="B35" i="3" s="1"/>
  <c r="C34" i="3"/>
  <c r="D34" i="3"/>
  <c r="E34" i="3"/>
  <c r="E35" i="3" s="1"/>
  <c r="F34" i="3"/>
  <c r="F35" i="3" s="1"/>
  <c r="G34" i="3"/>
  <c r="G35" i="3" s="1"/>
  <c r="H34" i="3"/>
  <c r="H35" i="3" s="1"/>
  <c r="I34" i="3"/>
  <c r="I35" i="3" s="1"/>
  <c r="J34" i="3"/>
  <c r="J35" i="3" s="1"/>
  <c r="K34" i="3"/>
  <c r="K35" i="3" s="1"/>
  <c r="L34" i="3"/>
  <c r="L35" i="3" s="1"/>
  <c r="M34" i="3"/>
  <c r="M35" i="3" s="1"/>
  <c r="C35" i="3"/>
  <c r="D35" i="3"/>
  <c r="C36" i="3"/>
  <c r="D36" i="3"/>
  <c r="E36" i="3"/>
  <c r="F36" i="3"/>
  <c r="G36" i="3"/>
  <c r="H36" i="3"/>
  <c r="I36" i="3"/>
  <c r="J36" i="3"/>
  <c r="K36" i="3"/>
  <c r="L36" i="3"/>
  <c r="M36" i="3"/>
  <c r="C37" i="3"/>
  <c r="D37" i="3"/>
  <c r="E37" i="3"/>
  <c r="F37" i="3"/>
  <c r="G37" i="3"/>
  <c r="H37" i="3"/>
  <c r="I37" i="3"/>
  <c r="J37" i="3"/>
  <c r="K37" i="3"/>
  <c r="L37" i="3"/>
  <c r="M37" i="3"/>
  <c r="B37" i="3"/>
  <c r="B36" i="3"/>
  <c r="C26" i="3"/>
  <c r="D26" i="3"/>
  <c r="E26" i="3"/>
  <c r="F26" i="3"/>
  <c r="G26" i="3"/>
  <c r="G27" i="3" s="1"/>
  <c r="H26" i="3"/>
  <c r="H27" i="3" s="1"/>
  <c r="I26" i="3"/>
  <c r="I27" i="3" s="1"/>
  <c r="J26" i="3"/>
  <c r="K26" i="3"/>
  <c r="K27" i="3" s="1"/>
  <c r="L26" i="3"/>
  <c r="L27" i="3" s="1"/>
  <c r="M26" i="3"/>
  <c r="M27" i="3" s="1"/>
  <c r="C27" i="3"/>
  <c r="D27" i="3"/>
  <c r="E27" i="3"/>
  <c r="F27" i="3"/>
  <c r="J27" i="3"/>
  <c r="C29" i="3"/>
  <c r="D29" i="3"/>
  <c r="E29" i="3"/>
  <c r="F29" i="3"/>
  <c r="G29" i="3"/>
  <c r="H29" i="3"/>
  <c r="I29" i="3"/>
  <c r="J29" i="3"/>
  <c r="K29" i="3"/>
  <c r="L29" i="3"/>
  <c r="M29" i="3"/>
  <c r="B29" i="3"/>
  <c r="B27" i="3"/>
  <c r="B26" i="3"/>
  <c r="C17" i="3"/>
  <c r="D17" i="3"/>
  <c r="E17" i="3"/>
  <c r="F17" i="3"/>
  <c r="G17" i="3"/>
  <c r="H17" i="3"/>
  <c r="H18" i="3" s="1"/>
  <c r="I17" i="3"/>
  <c r="I18" i="3" s="1"/>
  <c r="J17" i="3"/>
  <c r="J18" i="3" s="1"/>
  <c r="K17" i="3"/>
  <c r="K18" i="3" s="1"/>
  <c r="L17" i="3"/>
  <c r="L18" i="3" s="1"/>
  <c r="M17" i="3"/>
  <c r="M18" i="3" s="1"/>
  <c r="C18" i="3"/>
  <c r="D18" i="3"/>
  <c r="E18" i="3"/>
  <c r="F18" i="3"/>
  <c r="G18" i="3"/>
  <c r="C20" i="3"/>
  <c r="D20" i="3"/>
  <c r="E20" i="3"/>
  <c r="F20" i="3"/>
  <c r="G20" i="3"/>
  <c r="H20" i="3"/>
  <c r="I20" i="3"/>
  <c r="J20" i="3"/>
  <c r="K20" i="3"/>
  <c r="L20" i="3"/>
  <c r="M20" i="3"/>
  <c r="C21" i="3"/>
  <c r="D21" i="3"/>
  <c r="E21" i="3"/>
  <c r="F21" i="3"/>
  <c r="G21" i="3"/>
  <c r="H21" i="3"/>
  <c r="I21" i="3"/>
  <c r="J21" i="3"/>
  <c r="K21" i="3"/>
  <c r="L21" i="3"/>
  <c r="M21" i="3"/>
  <c r="B21" i="3"/>
  <c r="B20" i="3"/>
  <c r="B18" i="3"/>
  <c r="B17" i="3"/>
  <c r="C8" i="3"/>
  <c r="D8" i="3"/>
  <c r="E8" i="3"/>
  <c r="F8" i="3"/>
  <c r="G8" i="3"/>
  <c r="H8" i="3"/>
  <c r="I8" i="3"/>
  <c r="J8" i="3"/>
  <c r="K8" i="3"/>
  <c r="L8" i="3"/>
  <c r="M8" i="3"/>
  <c r="C9" i="3"/>
  <c r="D9" i="3"/>
  <c r="E9" i="3"/>
  <c r="F9" i="3"/>
  <c r="G9" i="3"/>
  <c r="H9" i="3"/>
  <c r="I9" i="3"/>
  <c r="J9" i="3"/>
  <c r="K9" i="3"/>
  <c r="L9" i="3"/>
  <c r="M9" i="3"/>
  <c r="C10" i="3"/>
  <c r="D10" i="3"/>
  <c r="E10" i="3"/>
  <c r="F10" i="3"/>
  <c r="G10" i="3"/>
  <c r="H10" i="3"/>
  <c r="I10" i="3"/>
  <c r="J10" i="3"/>
  <c r="K10" i="3"/>
  <c r="L10" i="3"/>
  <c r="M10" i="3"/>
  <c r="C11" i="3"/>
  <c r="D11" i="3"/>
  <c r="E11" i="3"/>
  <c r="F11" i="3"/>
  <c r="G11" i="3"/>
  <c r="H11" i="3"/>
  <c r="I11" i="3"/>
  <c r="J11" i="3"/>
  <c r="K11" i="3"/>
  <c r="L11" i="3"/>
  <c r="M11" i="3"/>
  <c r="C12" i="3"/>
  <c r="D12" i="3"/>
  <c r="E12" i="3"/>
  <c r="F12" i="3"/>
  <c r="G12" i="3"/>
  <c r="H12" i="3"/>
  <c r="I12" i="3"/>
  <c r="J12" i="3"/>
  <c r="K12" i="3"/>
  <c r="L12" i="3"/>
  <c r="M12" i="3"/>
  <c r="B11" i="3"/>
  <c r="B9" i="3"/>
  <c r="B12" i="3"/>
  <c r="B10" i="3"/>
  <c r="B8" i="3"/>
  <c r="C2" i="3"/>
  <c r="D2" i="3"/>
  <c r="E2" i="3"/>
  <c r="F2" i="3"/>
  <c r="G2" i="3"/>
  <c r="H2" i="3"/>
  <c r="I2" i="3"/>
  <c r="J2" i="3"/>
  <c r="K2" i="3"/>
  <c r="K4" i="3" s="1"/>
  <c r="K28" i="3" s="1"/>
  <c r="L2" i="3"/>
  <c r="M2" i="3"/>
  <c r="C3" i="3"/>
  <c r="D3" i="3"/>
  <c r="E3" i="3"/>
  <c r="E4" i="3" s="1"/>
  <c r="F3" i="3"/>
  <c r="F4" i="3" s="1"/>
  <c r="G3" i="3"/>
  <c r="H3" i="3"/>
  <c r="H4" i="3" s="1"/>
  <c r="I3" i="3"/>
  <c r="J3" i="3"/>
  <c r="K3" i="3"/>
  <c r="L3" i="3"/>
  <c r="M3" i="3"/>
  <c r="B3" i="3"/>
  <c r="B2" i="3"/>
  <c r="N54" i="1"/>
  <c r="C25" i="1"/>
  <c r="C26" i="1"/>
  <c r="C27" i="1"/>
  <c r="C28" i="1"/>
  <c r="C29" i="1"/>
  <c r="C24" i="1"/>
  <c r="C20" i="1"/>
  <c r="B9" i="1"/>
  <c r="C3" i="2"/>
  <c r="D3" i="2"/>
  <c r="E3" i="2"/>
  <c r="F3" i="2"/>
  <c r="G3" i="2"/>
  <c r="H3" i="2"/>
  <c r="I3" i="2"/>
  <c r="J3" i="2"/>
  <c r="K3" i="2"/>
  <c r="L3" i="2"/>
  <c r="M3" i="2"/>
  <c r="B3" i="2"/>
  <c r="C2" i="2"/>
  <c r="D2" i="2"/>
  <c r="D10" i="2" s="1"/>
  <c r="E2" i="2"/>
  <c r="F2" i="2"/>
  <c r="G2" i="2"/>
  <c r="G10" i="2" s="1"/>
  <c r="H2" i="2"/>
  <c r="I2" i="2"/>
  <c r="J2" i="2"/>
  <c r="K2" i="2"/>
  <c r="L2" i="2"/>
  <c r="M2" i="2"/>
  <c r="M10" i="2" s="1"/>
  <c r="B2" i="2"/>
  <c r="B10" i="2" s="1"/>
  <c r="N53" i="1"/>
  <c r="C10" i="2"/>
  <c r="C64" i="2"/>
  <c r="D64" i="2"/>
  <c r="M64" i="2"/>
  <c r="M65" i="2"/>
  <c r="N54" i="2"/>
  <c r="N50" i="2"/>
  <c r="N51" i="2" s="1"/>
  <c r="N52" i="2"/>
  <c r="N53" i="2"/>
  <c r="C50" i="2"/>
  <c r="C51" i="2" s="1"/>
  <c r="D50" i="2"/>
  <c r="D51" i="2" s="1"/>
  <c r="E50" i="2"/>
  <c r="E51" i="2" s="1"/>
  <c r="F50" i="2"/>
  <c r="F51" i="2" s="1"/>
  <c r="G50" i="2"/>
  <c r="G51" i="2" s="1"/>
  <c r="H50" i="2"/>
  <c r="H51" i="2" s="1"/>
  <c r="I50" i="2"/>
  <c r="I51" i="2" s="1"/>
  <c r="J50" i="2"/>
  <c r="J51" i="2" s="1"/>
  <c r="K50" i="2"/>
  <c r="K51" i="2" s="1"/>
  <c r="L50" i="2"/>
  <c r="L51" i="2" s="1"/>
  <c r="M50" i="2"/>
  <c r="M51" i="2" s="1"/>
  <c r="C52" i="2"/>
  <c r="D52" i="2"/>
  <c r="E52" i="2"/>
  <c r="F52" i="2"/>
  <c r="G52" i="2"/>
  <c r="H52" i="2"/>
  <c r="I52" i="2"/>
  <c r="J52" i="2"/>
  <c r="K52" i="2"/>
  <c r="K55" i="2" s="1"/>
  <c r="K66" i="2" s="1"/>
  <c r="L52" i="2"/>
  <c r="M52" i="2"/>
  <c r="C53" i="2"/>
  <c r="D53" i="2"/>
  <c r="E53" i="2"/>
  <c r="F53" i="2"/>
  <c r="G53" i="2"/>
  <c r="H53" i="2"/>
  <c r="I53" i="2"/>
  <c r="J53" i="2"/>
  <c r="K53" i="2"/>
  <c r="L53" i="2"/>
  <c r="L55" i="2" s="1"/>
  <c r="L66" i="2" s="1"/>
  <c r="M53" i="2"/>
  <c r="C54" i="2"/>
  <c r="D54" i="2"/>
  <c r="E54" i="2"/>
  <c r="F54" i="2"/>
  <c r="G54" i="2"/>
  <c r="H54" i="2"/>
  <c r="I54" i="2"/>
  <c r="J54" i="2"/>
  <c r="K54" i="2"/>
  <c r="L54" i="2"/>
  <c r="M54" i="2"/>
  <c r="M55" i="2" s="1"/>
  <c r="M66" i="2" s="1"/>
  <c r="B53" i="2"/>
  <c r="B54" i="2"/>
  <c r="B52" i="2"/>
  <c r="B50" i="2"/>
  <c r="B51" i="2" s="1"/>
  <c r="C44" i="2"/>
  <c r="D44" i="2"/>
  <c r="E44" i="2"/>
  <c r="F44" i="2"/>
  <c r="G44" i="2"/>
  <c r="H44" i="2"/>
  <c r="I44" i="2"/>
  <c r="J44" i="2"/>
  <c r="K44" i="2"/>
  <c r="L44" i="2"/>
  <c r="M44" i="2"/>
  <c r="C45" i="2"/>
  <c r="D45" i="2"/>
  <c r="E45" i="2"/>
  <c r="F45" i="2"/>
  <c r="G45" i="2"/>
  <c r="H45" i="2"/>
  <c r="I45" i="2"/>
  <c r="J45" i="2"/>
  <c r="K45" i="2"/>
  <c r="L45" i="2"/>
  <c r="M45" i="2"/>
  <c r="B45" i="2"/>
  <c r="B44" i="2"/>
  <c r="C42" i="2"/>
  <c r="D42" i="2"/>
  <c r="E42" i="2"/>
  <c r="F42" i="2"/>
  <c r="G42" i="2"/>
  <c r="H42" i="2"/>
  <c r="H43" i="2" s="1"/>
  <c r="I42" i="2"/>
  <c r="J42" i="2"/>
  <c r="K42" i="2"/>
  <c r="L42" i="2"/>
  <c r="M42" i="2"/>
  <c r="M43" i="2" s="1"/>
  <c r="M46" i="2" s="1"/>
  <c r="B42" i="2"/>
  <c r="C37" i="2"/>
  <c r="D37" i="2"/>
  <c r="E37" i="2"/>
  <c r="F37" i="2"/>
  <c r="G37" i="2"/>
  <c r="H37" i="2"/>
  <c r="I37" i="2"/>
  <c r="J37" i="2"/>
  <c r="K37" i="2"/>
  <c r="L37" i="2"/>
  <c r="M37" i="2"/>
  <c r="B37" i="2"/>
  <c r="C36" i="2"/>
  <c r="D36" i="2"/>
  <c r="E36" i="2"/>
  <c r="F36" i="2"/>
  <c r="G36" i="2"/>
  <c r="H36" i="2"/>
  <c r="I36" i="2"/>
  <c r="J36" i="2"/>
  <c r="K36" i="2"/>
  <c r="L36" i="2"/>
  <c r="M36" i="2"/>
  <c r="B36" i="2"/>
  <c r="C34" i="2"/>
  <c r="C35" i="2" s="1"/>
  <c r="C38" i="2" s="1"/>
  <c r="D34" i="2"/>
  <c r="D35" i="2" s="1"/>
  <c r="D38" i="2" s="1"/>
  <c r="E34" i="2"/>
  <c r="E35" i="2" s="1"/>
  <c r="F34" i="2"/>
  <c r="F35" i="2" s="1"/>
  <c r="G34" i="2"/>
  <c r="G35" i="2" s="1"/>
  <c r="G38" i="2" s="1"/>
  <c r="G64" i="2" s="1"/>
  <c r="H34" i="2"/>
  <c r="H35" i="2" s="1"/>
  <c r="H38" i="2" s="1"/>
  <c r="H64" i="2" s="1"/>
  <c r="I34" i="2"/>
  <c r="J34" i="2"/>
  <c r="K34" i="2"/>
  <c r="L34" i="2"/>
  <c r="L35" i="2" s="1"/>
  <c r="M34" i="2"/>
  <c r="M35" i="2" s="1"/>
  <c r="M38" i="2" s="1"/>
  <c r="B34" i="2"/>
  <c r="B35" i="2" s="1"/>
  <c r="C29" i="2"/>
  <c r="D29" i="2"/>
  <c r="E29" i="2"/>
  <c r="F29" i="2"/>
  <c r="G29" i="2"/>
  <c r="H29" i="2"/>
  <c r="I29" i="2"/>
  <c r="J29" i="2"/>
  <c r="K29" i="2"/>
  <c r="L29" i="2"/>
  <c r="M29" i="2"/>
  <c r="B29" i="2"/>
  <c r="B26" i="2"/>
  <c r="B27" i="2" s="1"/>
  <c r="L27" i="2"/>
  <c r="M27" i="2"/>
  <c r="C26" i="2"/>
  <c r="C27" i="2" s="1"/>
  <c r="D26" i="2"/>
  <c r="D27" i="2" s="1"/>
  <c r="E26" i="2"/>
  <c r="E27" i="2" s="1"/>
  <c r="F26" i="2"/>
  <c r="F27" i="2" s="1"/>
  <c r="G26" i="2"/>
  <c r="G27" i="2" s="1"/>
  <c r="H26" i="2"/>
  <c r="H27" i="2" s="1"/>
  <c r="I26" i="2"/>
  <c r="I27" i="2" s="1"/>
  <c r="J26" i="2"/>
  <c r="K26" i="2"/>
  <c r="L26" i="2"/>
  <c r="M26" i="2"/>
  <c r="C21" i="2"/>
  <c r="D21" i="2"/>
  <c r="E21" i="2"/>
  <c r="F21" i="2"/>
  <c r="G21" i="2"/>
  <c r="H21" i="2"/>
  <c r="I21" i="2"/>
  <c r="J21" i="2"/>
  <c r="K21" i="2"/>
  <c r="L21" i="2"/>
  <c r="M21" i="2"/>
  <c r="B21" i="2"/>
  <c r="C20" i="2"/>
  <c r="D20" i="2"/>
  <c r="E20" i="2"/>
  <c r="F20" i="2"/>
  <c r="G20" i="2"/>
  <c r="H20" i="2"/>
  <c r="I20" i="2"/>
  <c r="J20" i="2"/>
  <c r="K20" i="2"/>
  <c r="L20" i="2"/>
  <c r="M20" i="2"/>
  <c r="B20" i="2"/>
  <c r="C17" i="2"/>
  <c r="C18" i="2" s="1"/>
  <c r="D17" i="2"/>
  <c r="E17" i="2"/>
  <c r="E18" i="2" s="1"/>
  <c r="F17" i="2"/>
  <c r="F18" i="2" s="1"/>
  <c r="G17" i="2"/>
  <c r="G18" i="2" s="1"/>
  <c r="H17" i="2"/>
  <c r="H18" i="2" s="1"/>
  <c r="I17" i="2"/>
  <c r="I18" i="2" s="1"/>
  <c r="J17" i="2"/>
  <c r="J18" i="2" s="1"/>
  <c r="K17" i="2"/>
  <c r="K18" i="2" s="1"/>
  <c r="L17" i="2"/>
  <c r="L18" i="2" s="1"/>
  <c r="M17" i="2"/>
  <c r="M18" i="2" s="1"/>
  <c r="B17" i="2"/>
  <c r="B11" i="2"/>
  <c r="C12" i="2"/>
  <c r="D12" i="2"/>
  <c r="E12" i="2"/>
  <c r="F12" i="2"/>
  <c r="G12" i="2"/>
  <c r="H12" i="2"/>
  <c r="I12" i="2"/>
  <c r="J12" i="2"/>
  <c r="K12" i="2"/>
  <c r="L12" i="2"/>
  <c r="M12" i="2"/>
  <c r="B12" i="2"/>
  <c r="C11" i="2"/>
  <c r="D11" i="2"/>
  <c r="E11" i="2"/>
  <c r="F11" i="2"/>
  <c r="G11" i="2"/>
  <c r="H11" i="2"/>
  <c r="I11" i="2"/>
  <c r="J11" i="2"/>
  <c r="K11" i="2"/>
  <c r="L11" i="2"/>
  <c r="M11" i="2"/>
  <c r="C8" i="2"/>
  <c r="D8" i="2"/>
  <c r="E8" i="2"/>
  <c r="F8" i="2"/>
  <c r="G8" i="2"/>
  <c r="H8" i="2"/>
  <c r="I8" i="2"/>
  <c r="J8" i="2"/>
  <c r="K8" i="2"/>
  <c r="L8" i="2"/>
  <c r="M8" i="2"/>
  <c r="B8" i="2"/>
  <c r="D9" i="2" s="1"/>
  <c r="E10" i="2"/>
  <c r="B20" i="1"/>
  <c r="J265" i="9" l="1"/>
  <c r="H265" i="9"/>
  <c r="H273" i="9"/>
  <c r="J160" i="9"/>
  <c r="J22" i="9"/>
  <c r="J223" i="9"/>
  <c r="J39" i="9"/>
  <c r="J222" i="9"/>
  <c r="H177" i="9"/>
  <c r="H30" i="9"/>
  <c r="J269" i="9"/>
  <c r="H167" i="9"/>
  <c r="H164" i="9"/>
  <c r="J217" i="9"/>
  <c r="H96" i="9"/>
  <c r="J289" i="9"/>
  <c r="J280" i="9"/>
  <c r="J242" i="9"/>
  <c r="H288" i="9"/>
  <c r="J194" i="9"/>
  <c r="J93" i="9"/>
  <c r="H47" i="9"/>
  <c r="J310" i="9"/>
  <c r="J98" i="9"/>
  <c r="H170" i="9"/>
  <c r="J32" i="9"/>
  <c r="J317" i="9"/>
  <c r="J297" i="9"/>
  <c r="J74" i="9"/>
  <c r="H207" i="9"/>
  <c r="H304" i="9"/>
  <c r="H275" i="9"/>
  <c r="J247" i="9"/>
  <c r="H238" i="9"/>
  <c r="J200" i="9"/>
  <c r="J191" i="9"/>
  <c r="H145" i="9"/>
  <c r="J127" i="9"/>
  <c r="H80" i="9"/>
  <c r="J53" i="9"/>
  <c r="J26" i="9"/>
  <c r="H111" i="9"/>
  <c r="J111" i="9"/>
  <c r="J272" i="9"/>
  <c r="H169" i="9"/>
  <c r="J121" i="9"/>
  <c r="H38" i="9"/>
  <c r="H278" i="9"/>
  <c r="J193" i="9"/>
  <c r="H184" i="9"/>
  <c r="J129" i="9"/>
  <c r="J120" i="9"/>
  <c r="J83" i="9"/>
  <c r="H46" i="9"/>
  <c r="J37" i="9"/>
  <c r="H29" i="9"/>
  <c r="H324" i="9"/>
  <c r="J305" i="9"/>
  <c r="J277" i="9"/>
  <c r="H165" i="9"/>
  <c r="J295" i="9"/>
  <c r="H268" i="9"/>
  <c r="J239" i="9"/>
  <c r="H211" i="9"/>
  <c r="J146" i="9"/>
  <c r="J119" i="9"/>
  <c r="J73" i="9"/>
  <c r="J65" i="9"/>
  <c r="H55" i="9"/>
  <c r="J28" i="9"/>
  <c r="H323" i="9"/>
  <c r="H314" i="9"/>
  <c r="H276" i="9"/>
  <c r="H267" i="9"/>
  <c r="H229" i="9"/>
  <c r="J219" i="9"/>
  <c r="H118" i="9"/>
  <c r="H109" i="9"/>
  <c r="J101" i="9"/>
  <c r="J81" i="9"/>
  <c r="J54" i="9"/>
  <c r="J44" i="9"/>
  <c r="H27" i="9"/>
  <c r="H312" i="9"/>
  <c r="J303" i="9"/>
  <c r="H293" i="9"/>
  <c r="J228" i="9"/>
  <c r="J173" i="9"/>
  <c r="J163" i="9"/>
  <c r="H153" i="9"/>
  <c r="J126" i="9"/>
  <c r="J89" i="9"/>
  <c r="J71" i="9"/>
  <c r="H62" i="9"/>
  <c r="J43" i="9"/>
  <c r="J10" i="9"/>
  <c r="H8" i="9"/>
  <c r="H7" i="9"/>
  <c r="H6" i="9"/>
  <c r="H5" i="9"/>
  <c r="J9" i="9"/>
  <c r="J2" i="9"/>
  <c r="J4" i="9"/>
  <c r="J60" i="9"/>
  <c r="H60" i="9"/>
  <c r="J224" i="9"/>
  <c r="H224" i="9"/>
  <c r="J290" i="9"/>
  <c r="H290" i="9"/>
  <c r="J91" i="9"/>
  <c r="H91" i="9"/>
  <c r="J19" i="9"/>
  <c r="H19" i="9"/>
  <c r="H317" i="9"/>
  <c r="J263" i="9"/>
  <c r="J152" i="9"/>
  <c r="H152" i="9"/>
  <c r="J116" i="9"/>
  <c r="H116" i="9"/>
  <c r="J199" i="9"/>
  <c r="H199" i="9"/>
  <c r="J281" i="9"/>
  <c r="J29" i="9"/>
  <c r="J61" i="9"/>
  <c r="H61" i="9"/>
  <c r="J48" i="9"/>
  <c r="H48" i="9"/>
  <c r="J190" i="9"/>
  <c r="H190" i="9"/>
  <c r="J181" i="9"/>
  <c r="H181" i="9"/>
  <c r="H127" i="9"/>
  <c r="J282" i="9"/>
  <c r="J55" i="9"/>
  <c r="H101" i="9"/>
  <c r="H124" i="9"/>
  <c r="J124" i="9"/>
  <c r="J88" i="9"/>
  <c r="H88" i="9"/>
  <c r="H264" i="9"/>
  <c r="J264" i="9"/>
  <c r="H226" i="9"/>
  <c r="J226" i="9"/>
  <c r="H154" i="9"/>
  <c r="J154" i="9"/>
  <c r="J271" i="9"/>
  <c r="H271" i="9"/>
  <c r="H37" i="9"/>
  <c r="J311" i="9"/>
  <c r="H311" i="9"/>
  <c r="H248" i="9"/>
  <c r="J248" i="9"/>
  <c r="H131" i="9"/>
  <c r="J131" i="9"/>
  <c r="J86" i="9"/>
  <c r="H86" i="9"/>
  <c r="H182" i="9"/>
  <c r="J182" i="9"/>
  <c r="J156" i="9"/>
  <c r="H156" i="9"/>
  <c r="J245" i="9"/>
  <c r="H245" i="9"/>
  <c r="H318" i="9"/>
  <c r="H295" i="9"/>
  <c r="H307" i="9"/>
  <c r="H289" i="9"/>
  <c r="J103" i="9"/>
  <c r="H103" i="9"/>
  <c r="H67" i="9"/>
  <c r="J67" i="9"/>
  <c r="J298" i="9"/>
  <c r="H298" i="9"/>
  <c r="H73" i="9"/>
  <c r="J38" i="9"/>
  <c r="J255" i="9"/>
  <c r="H255" i="9"/>
  <c r="H147" i="9"/>
  <c r="J147" i="9"/>
  <c r="H3" i="9"/>
  <c r="J3" i="9"/>
  <c r="J243" i="9"/>
  <c r="J236" i="9"/>
  <c r="H71" i="9"/>
  <c r="H193" i="9"/>
  <c r="H272" i="9"/>
  <c r="J157" i="9"/>
  <c r="H157" i="9"/>
  <c r="J229" i="9"/>
  <c r="J27" i="9"/>
  <c r="H78" i="9"/>
  <c r="H10" i="9"/>
  <c r="J110" i="9"/>
  <c r="H110" i="9"/>
  <c r="J18" i="9"/>
  <c r="H18" i="9"/>
  <c r="H149" i="9"/>
  <c r="J149" i="9"/>
  <c r="J64" i="9"/>
  <c r="H64" i="9"/>
  <c r="J208" i="9"/>
  <c r="H208" i="9"/>
  <c r="H202" i="9"/>
  <c r="J202" i="9"/>
  <c r="J12" i="9"/>
  <c r="H12" i="9"/>
  <c r="J130" i="9"/>
  <c r="H130" i="9"/>
  <c r="H97" i="9"/>
  <c r="J84" i="9"/>
  <c r="H84" i="9"/>
  <c r="J176" i="9"/>
  <c r="H176" i="9"/>
  <c r="H315" i="9"/>
  <c r="J315" i="9"/>
  <c r="J287" i="9"/>
  <c r="H287" i="9"/>
  <c r="H162" i="9"/>
  <c r="J162" i="9"/>
  <c r="H44" i="9"/>
  <c r="J169" i="9"/>
  <c r="H234" i="9"/>
  <c r="H300" i="9"/>
  <c r="J24" i="9"/>
  <c r="H24" i="9"/>
  <c r="J117" i="9"/>
  <c r="H117" i="9"/>
  <c r="J214" i="9"/>
  <c r="H214" i="9"/>
  <c r="J58" i="9"/>
  <c r="H58" i="9"/>
  <c r="J66" i="9"/>
  <c r="H66" i="9"/>
  <c r="J241" i="9"/>
  <c r="H241" i="9"/>
  <c r="H197" i="9"/>
  <c r="J31" i="9"/>
  <c r="J69" i="9"/>
  <c r="H69" i="9"/>
  <c r="J77" i="9"/>
  <c r="H77" i="9"/>
  <c r="J123" i="9"/>
  <c r="H123" i="9"/>
  <c r="H138" i="9"/>
  <c r="J138" i="9"/>
  <c r="J143" i="9"/>
  <c r="J261" i="9"/>
  <c r="H108" i="9"/>
  <c r="J108" i="9"/>
  <c r="H221" i="9"/>
  <c r="J221" i="9"/>
  <c r="J302" i="9"/>
  <c r="H302" i="9"/>
  <c r="H201" i="9"/>
  <c r="H17" i="9"/>
  <c r="J17" i="9"/>
  <c r="H25" i="9"/>
  <c r="J25" i="9"/>
  <c r="J148" i="9"/>
  <c r="H148" i="9"/>
  <c r="H155" i="9"/>
  <c r="J155" i="9"/>
  <c r="J274" i="9"/>
  <c r="H274" i="9"/>
  <c r="J313" i="9"/>
  <c r="H313" i="9"/>
  <c r="J36" i="9"/>
  <c r="H36" i="9"/>
  <c r="J96" i="9"/>
  <c r="H14" i="9"/>
  <c r="J14" i="9"/>
  <c r="H45" i="9"/>
  <c r="J45" i="9"/>
  <c r="J30" i="9"/>
  <c r="H125" i="9"/>
  <c r="J125" i="9"/>
  <c r="J319" i="9"/>
  <c r="H319" i="9"/>
  <c r="H320" i="9"/>
  <c r="J320" i="9"/>
  <c r="J189" i="9"/>
  <c r="H189" i="9"/>
  <c r="H175" i="9"/>
  <c r="J175" i="9"/>
  <c r="H51" i="9"/>
  <c r="J57" i="9"/>
  <c r="H57" i="9"/>
  <c r="J95" i="9"/>
  <c r="H95" i="9"/>
  <c r="J104" i="9"/>
  <c r="H104" i="9"/>
  <c r="J183" i="9"/>
  <c r="H183" i="9"/>
  <c r="H21" i="9"/>
  <c r="H87" i="9"/>
  <c r="H100" i="9"/>
  <c r="J211" i="9"/>
  <c r="J47" i="9"/>
  <c r="J249" i="9"/>
  <c r="H242" i="9"/>
  <c r="J107" i="9"/>
  <c r="J68" i="9"/>
  <c r="J46" i="9"/>
  <c r="H132" i="9"/>
  <c r="H34" i="9"/>
  <c r="J145" i="9"/>
  <c r="H35" i="9"/>
  <c r="H94" i="9"/>
  <c r="J106" i="9"/>
  <c r="H119" i="9"/>
  <c r="H137" i="9"/>
  <c r="H163" i="9"/>
  <c r="H204" i="9"/>
  <c r="H303" i="9"/>
  <c r="J118" i="9"/>
  <c r="H93" i="9"/>
  <c r="J237" i="9"/>
  <c r="H225" i="9"/>
  <c r="J225" i="9"/>
  <c r="J80" i="9"/>
  <c r="H133" i="9"/>
  <c r="H26" i="9"/>
  <c r="H191" i="9"/>
  <c r="J134" i="9"/>
  <c r="H217" i="9"/>
  <c r="H244" i="9"/>
  <c r="J244" i="9"/>
  <c r="H206" i="9"/>
  <c r="J278" i="9"/>
  <c r="H301" i="9"/>
  <c r="J299" i="9"/>
  <c r="H299" i="9"/>
  <c r="J144" i="9"/>
  <c r="H144" i="9"/>
  <c r="J63" i="9"/>
  <c r="H63" i="9"/>
  <c r="H285" i="9"/>
  <c r="J285" i="9"/>
  <c r="J213" i="9"/>
  <c r="H213" i="9"/>
  <c r="J220" i="9"/>
  <c r="H220" i="9"/>
  <c r="J233" i="9"/>
  <c r="H233" i="9"/>
  <c r="H292" i="9"/>
  <c r="J292" i="9"/>
  <c r="J168" i="9"/>
  <c r="H168" i="9"/>
  <c r="J227" i="9"/>
  <c r="H227" i="9"/>
  <c r="J174" i="9"/>
  <c r="H174" i="9"/>
  <c r="J102" i="9"/>
  <c r="H102" i="9"/>
  <c r="H240" i="9"/>
  <c r="J240" i="9"/>
  <c r="J161" i="9"/>
  <c r="H161" i="9"/>
  <c r="J122" i="9"/>
  <c r="H122" i="9"/>
  <c r="J50" i="9"/>
  <c r="H50" i="9"/>
  <c r="H279" i="9"/>
  <c r="J279" i="9"/>
  <c r="J72" i="9"/>
  <c r="H72" i="9"/>
  <c r="J218" i="9"/>
  <c r="H218" i="9"/>
  <c r="H56" i="9"/>
  <c r="H33" i="9"/>
  <c r="H270" i="9"/>
  <c r="J270" i="9"/>
  <c r="H40" i="9"/>
  <c r="H158" i="9"/>
  <c r="J166" i="9"/>
  <c r="H209" i="9"/>
  <c r="J291" i="9"/>
  <c r="H41" i="9"/>
  <c r="H142" i="9"/>
  <c r="H210" i="9"/>
  <c r="J284" i="9"/>
  <c r="J312" i="9"/>
  <c r="J321" i="9"/>
  <c r="J296" i="9"/>
  <c r="H296" i="9"/>
  <c r="H120" i="9"/>
  <c r="H135" i="9"/>
  <c r="H186" i="9"/>
  <c r="H194" i="9"/>
  <c r="H230" i="9"/>
  <c r="J238" i="9"/>
  <c r="H256" i="9"/>
  <c r="J185" i="9"/>
  <c r="H185" i="9"/>
  <c r="H74" i="9"/>
  <c r="H105" i="9"/>
  <c r="H187" i="9"/>
  <c r="J203" i="9"/>
  <c r="H239" i="9"/>
  <c r="J257" i="9"/>
  <c r="H266" i="9"/>
  <c r="J275" i="9"/>
  <c r="J304" i="9"/>
  <c r="J159" i="9"/>
  <c r="H159" i="9"/>
  <c r="H70" i="9"/>
  <c r="H306" i="9"/>
  <c r="J306" i="9"/>
  <c r="J262" i="9"/>
  <c r="J231" i="9"/>
  <c r="H231" i="9"/>
  <c r="J172" i="9"/>
  <c r="H172" i="9"/>
  <c r="H150" i="9"/>
  <c r="J254" i="9"/>
  <c r="J151" i="9"/>
  <c r="J246" i="9"/>
  <c r="J192" i="9"/>
  <c r="H192" i="9"/>
  <c r="H89" i="9"/>
  <c r="H128" i="9"/>
  <c r="H247" i="9"/>
  <c r="J293" i="9"/>
  <c r="H43" i="9"/>
  <c r="H90" i="9"/>
  <c r="H112" i="9"/>
  <c r="J177" i="9"/>
  <c r="J212" i="9"/>
  <c r="H28" i="9"/>
  <c r="H59" i="9"/>
  <c r="H82" i="9"/>
  <c r="H98" i="9"/>
  <c r="H113" i="9"/>
  <c r="H121" i="9"/>
  <c r="H129" i="9"/>
  <c r="H136" i="9"/>
  <c r="J153" i="9"/>
  <c r="H195" i="9"/>
  <c r="H222" i="9"/>
  <c r="H232" i="9"/>
  <c r="J258" i="9"/>
  <c r="H286" i="9"/>
  <c r="H305" i="9"/>
  <c r="J314" i="9"/>
  <c r="J324" i="9"/>
  <c r="J309" i="9"/>
  <c r="H309" i="9"/>
  <c r="H294" i="9"/>
  <c r="J294" i="9"/>
  <c r="J216" i="9"/>
  <c r="H216" i="9"/>
  <c r="H83" i="9"/>
  <c r="H114" i="9"/>
  <c r="H188" i="9"/>
  <c r="J267" i="9"/>
  <c r="H297" i="9"/>
  <c r="J198" i="9"/>
  <c r="H198" i="9"/>
  <c r="H53" i="9"/>
  <c r="H92" i="9"/>
  <c r="H99" i="9"/>
  <c r="H146" i="9"/>
  <c r="H171" i="9"/>
  <c r="J179" i="9"/>
  <c r="J268" i="9"/>
  <c r="J288" i="9"/>
  <c r="J316" i="9"/>
  <c r="J322" i="9"/>
  <c r="H322" i="9"/>
  <c r="H23" i="9"/>
  <c r="H76" i="9"/>
  <c r="H115" i="9"/>
  <c r="H180" i="9"/>
  <c r="H260" i="9"/>
  <c r="H269" i="9"/>
  <c r="H228" i="9"/>
  <c r="H235" i="9"/>
  <c r="J276" i="9"/>
  <c r="H283" i="9"/>
  <c r="H13" i="9"/>
  <c r="H2" i="9"/>
  <c r="J11" i="9"/>
  <c r="H9" i="9"/>
  <c r="D69" i="8"/>
  <c r="E69" i="8" s="1"/>
  <c r="F70" i="8"/>
  <c r="D71" i="8"/>
  <c r="E71" i="8" s="1"/>
  <c r="F73" i="8"/>
  <c r="F67" i="8"/>
  <c r="F72" i="8"/>
  <c r="D75" i="8"/>
  <c r="E75" i="8" s="1"/>
  <c r="D68" i="8"/>
  <c r="E68" i="8" s="1"/>
  <c r="D76" i="8"/>
  <c r="F63" i="8"/>
  <c r="F59" i="8"/>
  <c r="D54" i="8"/>
  <c r="E54" i="8" s="1"/>
  <c r="D59" i="8"/>
  <c r="E59" i="8" s="1"/>
  <c r="D57" i="8"/>
  <c r="E57" i="8" s="1"/>
  <c r="D62" i="8"/>
  <c r="E62" i="8" s="1"/>
  <c r="F55" i="8"/>
  <c r="D63" i="8"/>
  <c r="D58" i="8"/>
  <c r="E58" i="8" s="1"/>
  <c r="D30" i="8"/>
  <c r="E30" i="8" s="1"/>
  <c r="D33" i="8"/>
  <c r="E33" i="8" s="1"/>
  <c r="F28" i="8"/>
  <c r="D31" i="8"/>
  <c r="E31" i="8" s="1"/>
  <c r="D36" i="8"/>
  <c r="E36" i="8" s="1"/>
  <c r="D29" i="8"/>
  <c r="E29" i="8" s="1"/>
  <c r="D34" i="8"/>
  <c r="E34" i="8" s="1"/>
  <c r="D37" i="8"/>
  <c r="D43" i="8"/>
  <c r="E43" i="8" s="1"/>
  <c r="F41" i="8"/>
  <c r="D41" i="8"/>
  <c r="E41" i="8" s="1"/>
  <c r="D44" i="8"/>
  <c r="E44" i="8" s="1"/>
  <c r="D46" i="8"/>
  <c r="E46" i="8" s="1"/>
  <c r="D50" i="8"/>
  <c r="D22" i="8"/>
  <c r="E22" i="8" s="1"/>
  <c r="D15" i="8"/>
  <c r="E15" i="8" s="1"/>
  <c r="D20" i="8"/>
  <c r="E20" i="8" s="1"/>
  <c r="D18" i="8"/>
  <c r="E18" i="8" s="1"/>
  <c r="D23" i="8"/>
  <c r="E23" i="8" s="1"/>
  <c r="D16" i="8"/>
  <c r="E16" i="8" s="1"/>
  <c r="D21" i="8"/>
  <c r="E21" i="8" s="1"/>
  <c r="D19" i="8"/>
  <c r="E19" i="8" s="1"/>
  <c r="D24" i="8"/>
  <c r="G61" i="7"/>
  <c r="H61" i="7"/>
  <c r="B66" i="7"/>
  <c r="B59" i="7"/>
  <c r="J66" i="7"/>
  <c r="K59" i="7"/>
  <c r="K63" i="7"/>
  <c r="K62" i="7"/>
  <c r="F63" i="7"/>
  <c r="F59" i="7"/>
  <c r="H64" i="7"/>
  <c r="D65" i="7"/>
  <c r="B64" i="7"/>
  <c r="M65" i="7"/>
  <c r="B62" i="7"/>
  <c r="B63" i="7"/>
  <c r="I64" i="7"/>
  <c r="J62" i="7"/>
  <c r="I59" i="7"/>
  <c r="I62" i="7"/>
  <c r="L62" i="7"/>
  <c r="L59" i="7"/>
  <c r="M62" i="7"/>
  <c r="M59" i="7"/>
  <c r="D64" i="7"/>
  <c r="K65" i="7"/>
  <c r="E64" i="7"/>
  <c r="M61" i="7"/>
  <c r="H62" i="7"/>
  <c r="G62" i="7"/>
  <c r="F64" i="7"/>
  <c r="K66" i="7"/>
  <c r="G66" i="7"/>
  <c r="I63" i="7"/>
  <c r="L63" i="7"/>
  <c r="G64" i="7"/>
  <c r="L61" i="7"/>
  <c r="C61" i="7"/>
  <c r="H66" i="7"/>
  <c r="C65" i="7"/>
  <c r="L65" i="7"/>
  <c r="D61" i="7"/>
  <c r="M63" i="7"/>
  <c r="I66" i="7"/>
  <c r="E61" i="7"/>
  <c r="J63" i="7"/>
  <c r="F61" i="7"/>
  <c r="H30" i="6"/>
  <c r="H63" i="6" s="1"/>
  <c r="G66" i="6"/>
  <c r="C66" i="6"/>
  <c r="J65" i="6"/>
  <c r="J66" i="6"/>
  <c r="E64" i="6"/>
  <c r="F64" i="6"/>
  <c r="I61" i="6"/>
  <c r="J61" i="6"/>
  <c r="J59" i="6"/>
  <c r="J62" i="6"/>
  <c r="E66" i="6"/>
  <c r="D64" i="6"/>
  <c r="I62" i="6"/>
  <c r="L61" i="6"/>
  <c r="I30" i="6"/>
  <c r="I63" i="6" s="1"/>
  <c r="K65" i="6"/>
  <c r="D66" i="6"/>
  <c r="I59" i="6"/>
  <c r="J30" i="6"/>
  <c r="J63" i="6" s="1"/>
  <c r="L65" i="6"/>
  <c r="G59" i="6"/>
  <c r="G61" i="6"/>
  <c r="H61" i="6"/>
  <c r="M65" i="6"/>
  <c r="F66" i="6"/>
  <c r="I66" i="6"/>
  <c r="C61" i="6"/>
  <c r="G64" i="6"/>
  <c r="L66" i="6"/>
  <c r="H66" i="6"/>
  <c r="H62" i="6"/>
  <c r="D61" i="6"/>
  <c r="H64" i="6"/>
  <c r="I64" i="6"/>
  <c r="D65" i="6"/>
  <c r="K66" i="6"/>
  <c r="E61" i="6"/>
  <c r="F61" i="6"/>
  <c r="M66" i="5"/>
  <c r="N46" i="5"/>
  <c r="G62" i="5"/>
  <c r="K61" i="5"/>
  <c r="J61" i="5"/>
  <c r="F63" i="5"/>
  <c r="G61" i="5"/>
  <c r="H61" i="5"/>
  <c r="I62" i="5"/>
  <c r="I59" i="5"/>
  <c r="I63" i="5"/>
  <c r="K59" i="5"/>
  <c r="K62" i="5"/>
  <c r="K63" i="5"/>
  <c r="B59" i="5"/>
  <c r="B64" i="5"/>
  <c r="H59" i="5"/>
  <c r="H62" i="5"/>
  <c r="H63" i="5"/>
  <c r="D65" i="5"/>
  <c r="B66" i="5"/>
  <c r="G64" i="5"/>
  <c r="K65" i="5"/>
  <c r="I66" i="5"/>
  <c r="M61" i="5"/>
  <c r="C65" i="5"/>
  <c r="L65" i="5"/>
  <c r="I64" i="5"/>
  <c r="F64" i="5"/>
  <c r="M65" i="5"/>
  <c r="K66" i="5"/>
  <c r="G66" i="5"/>
  <c r="F59" i="5"/>
  <c r="D64" i="5"/>
  <c r="L61" i="5"/>
  <c r="H64" i="5"/>
  <c r="J66" i="5"/>
  <c r="C61" i="5"/>
  <c r="H66" i="5"/>
  <c r="F62" i="5"/>
  <c r="E61" i="5"/>
  <c r="J62" i="5"/>
  <c r="D61" i="5"/>
  <c r="F61" i="5"/>
  <c r="M55" i="4"/>
  <c r="M66" i="4" s="1"/>
  <c r="N52" i="4"/>
  <c r="N53" i="4"/>
  <c r="J43" i="4"/>
  <c r="J46" i="4" s="1"/>
  <c r="J65" i="4" s="1"/>
  <c r="N45" i="4"/>
  <c r="L35" i="4"/>
  <c r="L38" i="4" s="1"/>
  <c r="L64" i="4" s="1"/>
  <c r="N36" i="4"/>
  <c r="N29" i="4"/>
  <c r="N17" i="4"/>
  <c r="N12" i="4"/>
  <c r="I13" i="4"/>
  <c r="I61" i="4" s="1"/>
  <c r="J13" i="4"/>
  <c r="J61" i="4" s="1"/>
  <c r="K13" i="4"/>
  <c r="K61" i="4" s="1"/>
  <c r="G13" i="4"/>
  <c r="G61" i="4" s="1"/>
  <c r="H13" i="4"/>
  <c r="H61" i="4" s="1"/>
  <c r="B4" i="4"/>
  <c r="N2" i="4"/>
  <c r="E13" i="3"/>
  <c r="E61" i="3" s="1"/>
  <c r="D55" i="3"/>
  <c r="D66" i="3" s="1"/>
  <c r="M38" i="4"/>
  <c r="M64" i="4" s="1"/>
  <c r="H46" i="4"/>
  <c r="H65" i="4" s="1"/>
  <c r="E19" i="3"/>
  <c r="E28" i="3"/>
  <c r="H28" i="3"/>
  <c r="H19" i="3"/>
  <c r="F19" i="3"/>
  <c r="F28" i="3"/>
  <c r="K19" i="3"/>
  <c r="K22" i="3" s="1"/>
  <c r="K62" i="3" s="1"/>
  <c r="C4" i="4"/>
  <c r="C59" i="4" s="1"/>
  <c r="D4" i="4"/>
  <c r="G4" i="4"/>
  <c r="G22" i="4" s="1"/>
  <c r="G62" i="4" s="1"/>
  <c r="I4" i="4"/>
  <c r="N3" i="4"/>
  <c r="L4" i="3"/>
  <c r="G55" i="4"/>
  <c r="G66" i="4" s="1"/>
  <c r="B59" i="4"/>
  <c r="B22" i="4"/>
  <c r="B62" i="4" s="1"/>
  <c r="D22" i="4"/>
  <c r="D62" i="4" s="1"/>
  <c r="D59" i="4"/>
  <c r="B38" i="4"/>
  <c r="B64" i="4" s="1"/>
  <c r="C22" i="4"/>
  <c r="C62" i="4" s="1"/>
  <c r="H30" i="4"/>
  <c r="H63" i="4" s="1"/>
  <c r="H59" i="4"/>
  <c r="H22" i="4"/>
  <c r="H62" i="4" s="1"/>
  <c r="B55" i="4"/>
  <c r="K4" i="4"/>
  <c r="K46" i="4"/>
  <c r="K65" i="4" s="1"/>
  <c r="J30" i="4"/>
  <c r="J63" i="4" s="1"/>
  <c r="L46" i="4"/>
  <c r="L65" i="4" s="1"/>
  <c r="M4" i="4"/>
  <c r="M13" i="4"/>
  <c r="M61" i="4" s="1"/>
  <c r="E4" i="4"/>
  <c r="E46" i="4"/>
  <c r="E65" i="4" s="1"/>
  <c r="L55" i="4"/>
  <c r="L66" i="4" s="1"/>
  <c r="H55" i="4"/>
  <c r="H66" i="4" s="1"/>
  <c r="F4" i="4"/>
  <c r="K38" i="4"/>
  <c r="K64" i="4" s="1"/>
  <c r="H38" i="4"/>
  <c r="H64" i="4" s="1"/>
  <c r="F46" i="4"/>
  <c r="F65" i="4" s="1"/>
  <c r="C46" i="4"/>
  <c r="C65" i="4" s="1"/>
  <c r="N50" i="4"/>
  <c r="I55" i="4"/>
  <c r="I66" i="4" s="1"/>
  <c r="L4" i="4"/>
  <c r="F38" i="4"/>
  <c r="F64" i="4" s="1"/>
  <c r="G38" i="4"/>
  <c r="G64" i="4" s="1"/>
  <c r="B46" i="4"/>
  <c r="I38" i="4"/>
  <c r="I64" i="4" s="1"/>
  <c r="K55" i="4"/>
  <c r="K66" i="4" s="1"/>
  <c r="E13" i="4"/>
  <c r="E61" i="4" s="1"/>
  <c r="J22" i="4"/>
  <c r="J62" i="4" s="1"/>
  <c r="D46" i="4"/>
  <c r="D65" i="4" s="1"/>
  <c r="J55" i="4"/>
  <c r="J66" i="4" s="1"/>
  <c r="F55" i="4"/>
  <c r="F66" i="4" s="1"/>
  <c r="M46" i="4"/>
  <c r="M65" i="4" s="1"/>
  <c r="L13" i="4"/>
  <c r="L61" i="4" s="1"/>
  <c r="F13" i="4"/>
  <c r="F61" i="4" s="1"/>
  <c r="N34" i="4"/>
  <c r="J38" i="4"/>
  <c r="J64" i="4" s="1"/>
  <c r="J59" i="4"/>
  <c r="E38" i="4"/>
  <c r="E64" i="4" s="1"/>
  <c r="N8" i="4"/>
  <c r="I46" i="3"/>
  <c r="I65" i="3" s="1"/>
  <c r="H46" i="3"/>
  <c r="H65" i="3" s="1"/>
  <c r="K38" i="3"/>
  <c r="K64" i="3" s="1"/>
  <c r="M38" i="3"/>
  <c r="M64" i="3" s="1"/>
  <c r="B38" i="3"/>
  <c r="B64" i="3" s="1"/>
  <c r="B4" i="3"/>
  <c r="J55" i="2"/>
  <c r="J66" i="2" s="1"/>
  <c r="N21" i="3"/>
  <c r="N3" i="3"/>
  <c r="N29" i="3"/>
  <c r="J13" i="3"/>
  <c r="J61" i="3" s="1"/>
  <c r="L55" i="3"/>
  <c r="L66" i="3" s="1"/>
  <c r="N42" i="3"/>
  <c r="M55" i="3"/>
  <c r="M66" i="3" s="1"/>
  <c r="C13" i="3"/>
  <c r="C61" i="3" s="1"/>
  <c r="I4" i="3"/>
  <c r="H13" i="3"/>
  <c r="H61" i="3" s="1"/>
  <c r="F38" i="3"/>
  <c r="F64" i="3" s="1"/>
  <c r="N44" i="3"/>
  <c r="N45" i="3"/>
  <c r="B55" i="3"/>
  <c r="B66" i="3" s="1"/>
  <c r="G13" i="3"/>
  <c r="G61" i="3" s="1"/>
  <c r="I55" i="2"/>
  <c r="I66" i="2" s="1"/>
  <c r="N20" i="3"/>
  <c r="I13" i="3"/>
  <c r="I61" i="3" s="1"/>
  <c r="N34" i="3"/>
  <c r="N37" i="3"/>
  <c r="G4" i="3"/>
  <c r="N36" i="3"/>
  <c r="C55" i="3"/>
  <c r="C66" i="3" s="1"/>
  <c r="N11" i="3"/>
  <c r="N12" i="3"/>
  <c r="F46" i="3"/>
  <c r="F65" i="3" s="1"/>
  <c r="K55" i="3"/>
  <c r="K66" i="3" s="1"/>
  <c r="E30" i="3"/>
  <c r="E63" i="3" s="1"/>
  <c r="E59" i="3"/>
  <c r="H59" i="3"/>
  <c r="H30" i="3"/>
  <c r="H63" i="3" s="1"/>
  <c r="K59" i="3"/>
  <c r="K30" i="3"/>
  <c r="K63" i="3" s="1"/>
  <c r="L59" i="3"/>
  <c r="F59" i="3"/>
  <c r="F30" i="3"/>
  <c r="F63" i="3" s="1"/>
  <c r="L38" i="3"/>
  <c r="L64" i="3" s="1"/>
  <c r="D38" i="3"/>
  <c r="D64" i="3" s="1"/>
  <c r="C4" i="3"/>
  <c r="N8" i="3"/>
  <c r="M13" i="3"/>
  <c r="M61" i="3" s="1"/>
  <c r="L13" i="3"/>
  <c r="L61" i="3" s="1"/>
  <c r="N26" i="3"/>
  <c r="H38" i="3"/>
  <c r="H64" i="3" s="1"/>
  <c r="E38" i="3"/>
  <c r="E64" i="3" s="1"/>
  <c r="C46" i="3"/>
  <c r="C65" i="3" s="1"/>
  <c r="L46" i="3"/>
  <c r="L65" i="3" s="1"/>
  <c r="J55" i="3"/>
  <c r="J66" i="3" s="1"/>
  <c r="F55" i="3"/>
  <c r="F66" i="3" s="1"/>
  <c r="J4" i="3"/>
  <c r="G55" i="3"/>
  <c r="M4" i="3"/>
  <c r="C38" i="3"/>
  <c r="C64" i="3" s="1"/>
  <c r="J46" i="3"/>
  <c r="J65" i="3" s="1"/>
  <c r="D4" i="3"/>
  <c r="H22" i="3"/>
  <c r="H62" i="3" s="1"/>
  <c r="I38" i="3"/>
  <c r="I64" i="3" s="1"/>
  <c r="D46" i="3"/>
  <c r="D65" i="3" s="1"/>
  <c r="M46" i="3"/>
  <c r="M65" i="3" s="1"/>
  <c r="N17" i="3"/>
  <c r="N2" i="3"/>
  <c r="G38" i="3"/>
  <c r="G64" i="3" s="1"/>
  <c r="I55" i="3"/>
  <c r="I66" i="3" s="1"/>
  <c r="E55" i="3"/>
  <c r="E66" i="3" s="1"/>
  <c r="B13" i="3"/>
  <c r="B61" i="3" s="1"/>
  <c r="E22" i="3"/>
  <c r="E62" i="3" s="1"/>
  <c r="N27" i="3"/>
  <c r="J38" i="3"/>
  <c r="J64" i="3" s="1"/>
  <c r="E46" i="3"/>
  <c r="E65" i="3" s="1"/>
  <c r="H55" i="3"/>
  <c r="H66" i="3" s="1"/>
  <c r="K46" i="3"/>
  <c r="K65" i="3" s="1"/>
  <c r="K13" i="3"/>
  <c r="K61" i="3" s="1"/>
  <c r="D13" i="3"/>
  <c r="D61" i="3" s="1"/>
  <c r="F13" i="3"/>
  <c r="F61" i="3" s="1"/>
  <c r="B4" i="2"/>
  <c r="B59" i="2" s="1"/>
  <c r="F55" i="2"/>
  <c r="F66" i="2" s="1"/>
  <c r="F38" i="2"/>
  <c r="F64" i="2" s="1"/>
  <c r="N42" i="2"/>
  <c r="N45" i="2"/>
  <c r="G55" i="2"/>
  <c r="G66" i="2" s="1"/>
  <c r="E55" i="2"/>
  <c r="E66" i="2" s="1"/>
  <c r="D55" i="2"/>
  <c r="D66" i="2" s="1"/>
  <c r="N44" i="2"/>
  <c r="H55" i="2"/>
  <c r="H66" i="2" s="1"/>
  <c r="C55" i="2"/>
  <c r="C66" i="2" s="1"/>
  <c r="B55" i="2"/>
  <c r="B66" i="2" s="1"/>
  <c r="N66" i="2" s="1"/>
  <c r="L46" i="2"/>
  <c r="L65" i="2" s="1"/>
  <c r="E43" i="2"/>
  <c r="E46" i="2" s="1"/>
  <c r="E65" i="2" s="1"/>
  <c r="D43" i="2"/>
  <c r="D46" i="2" s="1"/>
  <c r="D65" i="2" s="1"/>
  <c r="C43" i="2"/>
  <c r="C46" i="2" s="1"/>
  <c r="C65" i="2" s="1"/>
  <c r="N37" i="2"/>
  <c r="M4" i="2"/>
  <c r="L43" i="2"/>
  <c r="K43" i="2"/>
  <c r="K46" i="2" s="1"/>
  <c r="K65" i="2" s="1"/>
  <c r="I43" i="2"/>
  <c r="I46" i="2" s="1"/>
  <c r="I65" i="2" s="1"/>
  <c r="H46" i="2"/>
  <c r="H65" i="2" s="1"/>
  <c r="G43" i="2"/>
  <c r="G46" i="2" s="1"/>
  <c r="G65" i="2" s="1"/>
  <c r="B43" i="2"/>
  <c r="J43" i="2"/>
  <c r="J46" i="2" s="1"/>
  <c r="J65" i="2" s="1"/>
  <c r="F43" i="2"/>
  <c r="F46" i="2" s="1"/>
  <c r="F65" i="2" s="1"/>
  <c r="N29" i="2"/>
  <c r="N36" i="2"/>
  <c r="E38" i="2"/>
  <c r="E64" i="2" s="1"/>
  <c r="B38" i="2"/>
  <c r="B64" i="2" s="1"/>
  <c r="J35" i="2"/>
  <c r="J38" i="2" s="1"/>
  <c r="J64" i="2" s="1"/>
  <c r="N12" i="2"/>
  <c r="D13" i="2"/>
  <c r="D61" i="2" s="1"/>
  <c r="K27" i="2"/>
  <c r="K35" i="2"/>
  <c r="K38" i="2" s="1"/>
  <c r="K64" i="2" s="1"/>
  <c r="N11" i="2"/>
  <c r="N34" i="2"/>
  <c r="J27" i="2"/>
  <c r="D18" i="2"/>
  <c r="N20" i="2"/>
  <c r="L38" i="2"/>
  <c r="L64" i="2" s="1"/>
  <c r="I35" i="2"/>
  <c r="N26" i="2"/>
  <c r="N21" i="2"/>
  <c r="N8" i="2"/>
  <c r="L4" i="2"/>
  <c r="L59" i="2" s="1"/>
  <c r="K4" i="2"/>
  <c r="K59" i="2" s="1"/>
  <c r="M9" i="2"/>
  <c r="M13" i="2" s="1"/>
  <c r="M61" i="2" s="1"/>
  <c r="K9" i="2"/>
  <c r="H4" i="2"/>
  <c r="H59" i="2" s="1"/>
  <c r="K10" i="2"/>
  <c r="G4" i="2"/>
  <c r="G59" i="2" s="1"/>
  <c r="I10" i="2"/>
  <c r="H10" i="2"/>
  <c r="D4" i="2"/>
  <c r="D59" i="2" s="1"/>
  <c r="F9" i="2"/>
  <c r="C9" i="2"/>
  <c r="C13" i="2" s="1"/>
  <c r="C61" i="2" s="1"/>
  <c r="J4" i="2"/>
  <c r="J59" i="2" s="1"/>
  <c r="I4" i="2"/>
  <c r="I59" i="2" s="1"/>
  <c r="L10" i="2"/>
  <c r="J9" i="2"/>
  <c r="J10" i="2"/>
  <c r="F4" i="2"/>
  <c r="F59" i="2" s="1"/>
  <c r="G9" i="2"/>
  <c r="G13" i="2" s="1"/>
  <c r="G61" i="2" s="1"/>
  <c r="N3" i="2"/>
  <c r="C4" i="2"/>
  <c r="C59" i="2" s="1"/>
  <c r="E9" i="2"/>
  <c r="E13" i="2" s="1"/>
  <c r="E61" i="2" s="1"/>
  <c r="F10" i="2"/>
  <c r="B9" i="2"/>
  <c r="B13" i="2" s="1"/>
  <c r="B61" i="2" s="1"/>
  <c r="L9" i="2"/>
  <c r="I9" i="2"/>
  <c r="H9" i="2"/>
  <c r="E4" i="2"/>
  <c r="E59" i="2" s="1"/>
  <c r="N2" i="2"/>
  <c r="N17" i="2"/>
  <c r="B18" i="2"/>
  <c r="N18" i="2" s="1"/>
  <c r="I67" i="7" l="1"/>
  <c r="H67" i="7"/>
  <c r="H69" i="7" s="1"/>
  <c r="H70" i="7" s="1"/>
  <c r="J67" i="7"/>
  <c r="J69" i="7" s="1"/>
  <c r="J70" i="7" s="1"/>
  <c r="L67" i="7"/>
  <c r="L69" i="7" s="1"/>
  <c r="L70" i="7" s="1"/>
  <c r="G67" i="7"/>
  <c r="G69" i="7" s="1"/>
  <c r="G70" i="7" s="1"/>
  <c r="F62" i="7"/>
  <c r="M67" i="7"/>
  <c r="M69" i="7" s="1"/>
  <c r="M70" i="7" s="1"/>
  <c r="K67" i="7"/>
  <c r="K69" i="7" s="1"/>
  <c r="K70" i="7" s="1"/>
  <c r="F66" i="7"/>
  <c r="N66" i="7" s="1"/>
  <c r="E62" i="7"/>
  <c r="E63" i="7"/>
  <c r="E59" i="7"/>
  <c r="C63" i="7"/>
  <c r="C59" i="7"/>
  <c r="C62" i="7"/>
  <c r="B65" i="7"/>
  <c r="N65" i="7" s="1"/>
  <c r="I69" i="7"/>
  <c r="I70" i="7" s="1"/>
  <c r="D62" i="7"/>
  <c r="D63" i="7"/>
  <c r="D59" i="7"/>
  <c r="B61" i="7"/>
  <c r="N64" i="7"/>
  <c r="M61" i="6"/>
  <c r="B61" i="6"/>
  <c r="N61" i="6" s="1"/>
  <c r="N64" i="6"/>
  <c r="N66" i="6"/>
  <c r="C59" i="6"/>
  <c r="C30" i="6"/>
  <c r="C63" i="6" s="1"/>
  <c r="C62" i="6"/>
  <c r="C67" i="6" s="1"/>
  <c r="D30" i="6"/>
  <c r="D63" i="6" s="1"/>
  <c r="D62" i="6"/>
  <c r="D67" i="6" s="1"/>
  <c r="D59" i="6"/>
  <c r="J67" i="6"/>
  <c r="J69" i="6" s="1"/>
  <c r="J70" i="6" s="1"/>
  <c r="B65" i="6"/>
  <c r="C65" i="6"/>
  <c r="B59" i="6"/>
  <c r="B30" i="6"/>
  <c r="B63" i="6" s="1"/>
  <c r="G62" i="6"/>
  <c r="G67" i="6" s="1"/>
  <c r="G69" i="6" s="1"/>
  <c r="G70" i="6" s="1"/>
  <c r="H67" i="6"/>
  <c r="H69" i="6" s="1"/>
  <c r="H70" i="6" s="1"/>
  <c r="L62" i="6"/>
  <c r="L30" i="6"/>
  <c r="L63" i="6" s="1"/>
  <c r="L59" i="6"/>
  <c r="K59" i="6"/>
  <c r="K62" i="6"/>
  <c r="K30" i="6"/>
  <c r="K63" i="6" s="1"/>
  <c r="I67" i="6"/>
  <c r="I69" i="6" s="1"/>
  <c r="I70" i="6" s="1"/>
  <c r="F30" i="6"/>
  <c r="F63" i="6" s="1"/>
  <c r="F59" i="6"/>
  <c r="F62" i="6"/>
  <c r="M30" i="6"/>
  <c r="M63" i="6" s="1"/>
  <c r="M62" i="6"/>
  <c r="M67" i="6" s="1"/>
  <c r="M59" i="6"/>
  <c r="E30" i="6"/>
  <c r="E63" i="6" s="1"/>
  <c r="E62" i="6"/>
  <c r="E67" i="6" s="1"/>
  <c r="E59" i="6"/>
  <c r="G59" i="5"/>
  <c r="G63" i="5"/>
  <c r="G67" i="5" s="1"/>
  <c r="J63" i="5"/>
  <c r="J67" i="5" s="1"/>
  <c r="J69" i="5" s="1"/>
  <c r="J70" i="5" s="1"/>
  <c r="H67" i="5"/>
  <c r="H69" i="5" s="1"/>
  <c r="H70" i="5" s="1"/>
  <c r="I67" i="5"/>
  <c r="I69" i="5" s="1"/>
  <c r="I70" i="5" s="1"/>
  <c r="K67" i="5"/>
  <c r="K69" i="5" s="1"/>
  <c r="K70" i="5" s="1"/>
  <c r="F66" i="5"/>
  <c r="F67" i="5" s="1"/>
  <c r="F69" i="5" s="1"/>
  <c r="F70" i="5" s="1"/>
  <c r="E64" i="5"/>
  <c r="N64" i="5" s="1"/>
  <c r="C63" i="5"/>
  <c r="C62" i="5"/>
  <c r="C67" i="5" s="1"/>
  <c r="C59" i="5"/>
  <c r="E63" i="5"/>
  <c r="E59" i="5"/>
  <c r="E62" i="5"/>
  <c r="B65" i="5"/>
  <c r="N65" i="5" s="1"/>
  <c r="B63" i="5"/>
  <c r="L62" i="5"/>
  <c r="L63" i="5"/>
  <c r="L59" i="5"/>
  <c r="B62" i="5"/>
  <c r="N66" i="5"/>
  <c r="B61" i="5"/>
  <c r="D63" i="5"/>
  <c r="D59" i="5"/>
  <c r="D62" i="5"/>
  <c r="M62" i="5"/>
  <c r="M63" i="5"/>
  <c r="M59" i="5"/>
  <c r="C13" i="4"/>
  <c r="C61" i="4" s="1"/>
  <c r="J67" i="4"/>
  <c r="J69" i="4" s="1"/>
  <c r="J70" i="4" s="1"/>
  <c r="B13" i="4"/>
  <c r="B61" i="4" s="1"/>
  <c r="N4" i="4"/>
  <c r="N35" i="4"/>
  <c r="C30" i="4"/>
  <c r="C63" i="4" s="1"/>
  <c r="D38" i="4"/>
  <c r="D64" i="4" s="1"/>
  <c r="N64" i="4" s="1"/>
  <c r="B59" i="3"/>
  <c r="B19" i="3"/>
  <c r="B28" i="3"/>
  <c r="G19" i="3"/>
  <c r="G28" i="3"/>
  <c r="G30" i="3" s="1"/>
  <c r="G63" i="3" s="1"/>
  <c r="G30" i="4"/>
  <c r="G63" i="4" s="1"/>
  <c r="G67" i="4" s="1"/>
  <c r="G59" i="4"/>
  <c r="M28" i="3"/>
  <c r="M30" i="3" s="1"/>
  <c r="M63" i="3" s="1"/>
  <c r="M19" i="3"/>
  <c r="M22" i="3" s="1"/>
  <c r="M62" i="3" s="1"/>
  <c r="D30" i="4"/>
  <c r="D63" i="4" s="1"/>
  <c r="I59" i="4"/>
  <c r="C19" i="3"/>
  <c r="C22" i="3" s="1"/>
  <c r="C62" i="3" s="1"/>
  <c r="C28" i="3"/>
  <c r="I22" i="4"/>
  <c r="I62" i="4" s="1"/>
  <c r="I30" i="4"/>
  <c r="I63" i="4" s="1"/>
  <c r="I67" i="4" s="1"/>
  <c r="H67" i="4"/>
  <c r="H69" i="4" s="1"/>
  <c r="H70" i="4" s="1"/>
  <c r="D19" i="3"/>
  <c r="D28" i="3"/>
  <c r="D30" i="3" s="1"/>
  <c r="D63" i="3" s="1"/>
  <c r="I59" i="3"/>
  <c r="I28" i="3"/>
  <c r="I30" i="3" s="1"/>
  <c r="I63" i="3" s="1"/>
  <c r="I19" i="3"/>
  <c r="I22" i="3" s="1"/>
  <c r="I62" i="3" s="1"/>
  <c r="J28" i="3"/>
  <c r="J30" i="3" s="1"/>
  <c r="J63" i="3" s="1"/>
  <c r="J19" i="3"/>
  <c r="J22" i="3" s="1"/>
  <c r="J62" i="3" s="1"/>
  <c r="L19" i="3"/>
  <c r="L22" i="3" s="1"/>
  <c r="L62" i="3" s="1"/>
  <c r="L28" i="3"/>
  <c r="L30" i="3" s="1"/>
  <c r="L63" i="3" s="1"/>
  <c r="L30" i="4"/>
  <c r="L63" i="4" s="1"/>
  <c r="N9" i="4"/>
  <c r="N27" i="4"/>
  <c r="K59" i="4"/>
  <c r="K22" i="4"/>
  <c r="K62" i="4" s="1"/>
  <c r="K30" i="4"/>
  <c r="K63" i="4" s="1"/>
  <c r="B66" i="4"/>
  <c r="N66" i="4" s="1"/>
  <c r="N55" i="4"/>
  <c r="E30" i="4"/>
  <c r="E63" i="4" s="1"/>
  <c r="E22" i="4"/>
  <c r="E62" i="4" s="1"/>
  <c r="E59" i="4"/>
  <c r="N43" i="4"/>
  <c r="D13" i="4"/>
  <c r="D61" i="4" s="1"/>
  <c r="M22" i="4"/>
  <c r="M62" i="4" s="1"/>
  <c r="M30" i="4"/>
  <c r="M63" i="4" s="1"/>
  <c r="M59" i="4"/>
  <c r="N51" i="4"/>
  <c r="N18" i="4"/>
  <c r="B30" i="4"/>
  <c r="B63" i="4" s="1"/>
  <c r="F30" i="4"/>
  <c r="F63" i="4" s="1"/>
  <c r="F59" i="4"/>
  <c r="N59" i="4" s="1"/>
  <c r="F22" i="4"/>
  <c r="F62" i="4" s="1"/>
  <c r="N46" i="4"/>
  <c r="B65" i="4"/>
  <c r="N65" i="4" s="1"/>
  <c r="N38" i="4"/>
  <c r="L22" i="4"/>
  <c r="L62" i="4" s="1"/>
  <c r="L59" i="4"/>
  <c r="N10" i="4"/>
  <c r="F22" i="3"/>
  <c r="F62" i="3" s="1"/>
  <c r="B22" i="3"/>
  <c r="B62" i="3" s="1"/>
  <c r="N4" i="3"/>
  <c r="G59" i="3"/>
  <c r="H67" i="3"/>
  <c r="G22" i="3"/>
  <c r="G62" i="3" s="1"/>
  <c r="L67" i="3"/>
  <c r="L69" i="3" s="1"/>
  <c r="L70" i="3" s="1"/>
  <c r="N64" i="2"/>
  <c r="H13" i="2"/>
  <c r="H61" i="2" s="1"/>
  <c r="G66" i="3"/>
  <c r="N55" i="3"/>
  <c r="E67" i="3"/>
  <c r="E69" i="3" s="1"/>
  <c r="E70" i="3" s="1"/>
  <c r="N64" i="3"/>
  <c r="K67" i="3"/>
  <c r="K69" i="3" s="1"/>
  <c r="K70" i="3" s="1"/>
  <c r="N43" i="3"/>
  <c r="D59" i="3"/>
  <c r="D22" i="3"/>
  <c r="D62" i="3" s="1"/>
  <c r="H69" i="3"/>
  <c r="H70" i="3" s="1"/>
  <c r="N35" i="3"/>
  <c r="N38" i="3" s="1"/>
  <c r="N10" i="3"/>
  <c r="N18" i="3"/>
  <c r="F67" i="3"/>
  <c r="F69" i="3" s="1"/>
  <c r="F70" i="3" s="1"/>
  <c r="J59" i="3"/>
  <c r="C30" i="3"/>
  <c r="C63" i="3" s="1"/>
  <c r="C59" i="3"/>
  <c r="M59" i="3"/>
  <c r="B46" i="3"/>
  <c r="B30" i="3"/>
  <c r="B63" i="3" s="1"/>
  <c r="N61" i="3"/>
  <c r="N9" i="3"/>
  <c r="B19" i="2"/>
  <c r="B22" i="2" s="1"/>
  <c r="B62" i="2" s="1"/>
  <c r="B28" i="2"/>
  <c r="B30" i="2" s="1"/>
  <c r="B63" i="2" s="1"/>
  <c r="M28" i="2"/>
  <c r="M30" i="2" s="1"/>
  <c r="M63" i="2" s="1"/>
  <c r="M59" i="2"/>
  <c r="N10" i="2"/>
  <c r="M19" i="2"/>
  <c r="M22" i="2" s="1"/>
  <c r="M62" i="2" s="1"/>
  <c r="M67" i="2" s="1"/>
  <c r="N55" i="2"/>
  <c r="I13" i="2"/>
  <c r="I61" i="2" s="1"/>
  <c r="N43" i="2"/>
  <c r="B46" i="2"/>
  <c r="N27" i="2"/>
  <c r="N35" i="2"/>
  <c r="L13" i="2"/>
  <c r="L61" i="2" s="1"/>
  <c r="N38" i="2"/>
  <c r="D19" i="2"/>
  <c r="D22" i="2" s="1"/>
  <c r="D62" i="2" s="1"/>
  <c r="D28" i="2"/>
  <c r="D30" i="2" s="1"/>
  <c r="D63" i="2" s="1"/>
  <c r="G28" i="2"/>
  <c r="G30" i="2" s="1"/>
  <c r="G63" i="2" s="1"/>
  <c r="G19" i="2"/>
  <c r="G22" i="2" s="1"/>
  <c r="G62" i="2" s="1"/>
  <c r="E19" i="2"/>
  <c r="E22" i="2" s="1"/>
  <c r="E62" i="2" s="1"/>
  <c r="E28" i="2"/>
  <c r="E30" i="2" s="1"/>
  <c r="E63" i="2" s="1"/>
  <c r="J19" i="2"/>
  <c r="J22" i="2" s="1"/>
  <c r="J62" i="2" s="1"/>
  <c r="J28" i="2"/>
  <c r="J30" i="2" s="1"/>
  <c r="J63" i="2" s="1"/>
  <c r="F13" i="2"/>
  <c r="F61" i="2" s="1"/>
  <c r="H19" i="2"/>
  <c r="H22" i="2" s="1"/>
  <c r="H62" i="2" s="1"/>
  <c r="H28" i="2"/>
  <c r="H30" i="2" s="1"/>
  <c r="H63" i="2" s="1"/>
  <c r="I38" i="2"/>
  <c r="I64" i="2" s="1"/>
  <c r="J13" i="2"/>
  <c r="J61" i="2" s="1"/>
  <c r="K13" i="2"/>
  <c r="K61" i="2" s="1"/>
  <c r="L19" i="2"/>
  <c r="L22" i="2" s="1"/>
  <c r="L62" i="2" s="1"/>
  <c r="L28" i="2"/>
  <c r="L30" i="2" s="1"/>
  <c r="L63" i="2" s="1"/>
  <c r="C19" i="2"/>
  <c r="C22" i="2" s="1"/>
  <c r="C62" i="2" s="1"/>
  <c r="C28" i="2"/>
  <c r="C30" i="2" s="1"/>
  <c r="C63" i="2" s="1"/>
  <c r="F28" i="2"/>
  <c r="F30" i="2" s="1"/>
  <c r="F63" i="2" s="1"/>
  <c r="F19" i="2"/>
  <c r="F22" i="2" s="1"/>
  <c r="F62" i="2" s="1"/>
  <c r="I19" i="2"/>
  <c r="I22" i="2" s="1"/>
  <c r="I62" i="2" s="1"/>
  <c r="I28" i="2"/>
  <c r="I30" i="2" s="1"/>
  <c r="I63" i="2" s="1"/>
  <c r="K19" i="2"/>
  <c r="K22" i="2" s="1"/>
  <c r="K62" i="2" s="1"/>
  <c r="K28" i="2"/>
  <c r="K30" i="2" s="1"/>
  <c r="K63" i="2" s="1"/>
  <c r="N4" i="2"/>
  <c r="N9" i="2"/>
  <c r="E67" i="7" l="1"/>
  <c r="E69" i="7" s="1"/>
  <c r="E70" i="7" s="1"/>
  <c r="D67" i="7"/>
  <c r="D69" i="7" s="1"/>
  <c r="D70" i="7" s="1"/>
  <c r="N63" i="7"/>
  <c r="C67" i="7"/>
  <c r="C69" i="7" s="1"/>
  <c r="C70" i="7" s="1"/>
  <c r="N62" i="7"/>
  <c r="F67" i="7"/>
  <c r="F69" i="7" s="1"/>
  <c r="F70" i="7" s="1"/>
  <c r="B67" i="7"/>
  <c r="N61" i="7"/>
  <c r="N59" i="7"/>
  <c r="L67" i="6"/>
  <c r="L69" i="6" s="1"/>
  <c r="L70" i="6" s="1"/>
  <c r="F67" i="6"/>
  <c r="F69" i="6" s="1"/>
  <c r="F70" i="6" s="1"/>
  <c r="K67" i="6"/>
  <c r="K69" i="6" s="1"/>
  <c r="K70" i="6" s="1"/>
  <c r="D69" i="6"/>
  <c r="D70" i="6" s="1"/>
  <c r="C69" i="6"/>
  <c r="C70" i="6" s="1"/>
  <c r="E69" i="6"/>
  <c r="E70" i="6" s="1"/>
  <c r="N63" i="6"/>
  <c r="B62" i="6"/>
  <c r="N65" i="6"/>
  <c r="N59" i="6"/>
  <c r="M69" i="6"/>
  <c r="M70" i="6" s="1"/>
  <c r="E67" i="5"/>
  <c r="E69" i="5" s="1"/>
  <c r="E70" i="5" s="1"/>
  <c r="G69" i="5"/>
  <c r="G70" i="5" s="1"/>
  <c r="L67" i="5"/>
  <c r="L69" i="5" s="1"/>
  <c r="L70" i="5" s="1"/>
  <c r="M67" i="5"/>
  <c r="M69" i="5" s="1"/>
  <c r="M70" i="5" s="1"/>
  <c r="D67" i="5"/>
  <c r="D69" i="5" s="1"/>
  <c r="D70" i="5" s="1"/>
  <c r="N59" i="5"/>
  <c r="N63" i="5"/>
  <c r="B67" i="5"/>
  <c r="N61" i="5"/>
  <c r="C69" i="5"/>
  <c r="C70" i="5" s="1"/>
  <c r="N62" i="5"/>
  <c r="C67" i="4"/>
  <c r="C69" i="4" s="1"/>
  <c r="C70" i="4" s="1"/>
  <c r="F67" i="4"/>
  <c r="F69" i="4" s="1"/>
  <c r="F70" i="4" s="1"/>
  <c r="L67" i="4"/>
  <c r="L69" i="4" s="1"/>
  <c r="L70" i="4" s="1"/>
  <c r="M67" i="4"/>
  <c r="G69" i="4"/>
  <c r="G70" i="4" s="1"/>
  <c r="N13" i="4"/>
  <c r="N61" i="4"/>
  <c r="B67" i="4"/>
  <c r="B69" i="4" s="1"/>
  <c r="B70" i="4" s="1"/>
  <c r="I69" i="4"/>
  <c r="I70" i="4" s="1"/>
  <c r="N19" i="4"/>
  <c r="D67" i="3"/>
  <c r="D69" i="3" s="1"/>
  <c r="D70" i="3" s="1"/>
  <c r="N62" i="4"/>
  <c r="D67" i="4"/>
  <c r="D69" i="4" s="1"/>
  <c r="D70" i="4" s="1"/>
  <c r="K67" i="4"/>
  <c r="K69" i="4" s="1"/>
  <c r="K70" i="4" s="1"/>
  <c r="N63" i="4"/>
  <c r="N28" i="4"/>
  <c r="N30" i="4" s="1"/>
  <c r="E67" i="4"/>
  <c r="M69" i="4"/>
  <c r="M70" i="4" s="1"/>
  <c r="I67" i="3"/>
  <c r="I69" i="3" s="1"/>
  <c r="I70" i="3" s="1"/>
  <c r="N46" i="2"/>
  <c r="B65" i="2"/>
  <c r="N65" i="2" s="1"/>
  <c r="G67" i="3"/>
  <c r="G69" i="3" s="1"/>
  <c r="G70" i="3" s="1"/>
  <c r="N13" i="3"/>
  <c r="J67" i="3"/>
  <c r="J69" i="3" s="1"/>
  <c r="J70" i="3" s="1"/>
  <c r="M67" i="3"/>
  <c r="N66" i="3"/>
  <c r="M69" i="3"/>
  <c r="M70" i="3" s="1"/>
  <c r="N62" i="3"/>
  <c r="N63" i="3"/>
  <c r="N28" i="3"/>
  <c r="N30" i="3" s="1"/>
  <c r="C67" i="3"/>
  <c r="C69" i="3" s="1"/>
  <c r="C70" i="3" s="1"/>
  <c r="N59" i="3"/>
  <c r="B65" i="3"/>
  <c r="N46" i="3"/>
  <c r="N19" i="3"/>
  <c r="N22" i="3" s="1"/>
  <c r="G67" i="2"/>
  <c r="G69" i="2" s="1"/>
  <c r="G70" i="2" s="1"/>
  <c r="D67" i="2"/>
  <c r="D69" i="2" s="1"/>
  <c r="D70" i="2" s="1"/>
  <c r="E67" i="2"/>
  <c r="E69" i="2" s="1"/>
  <c r="E70" i="2" s="1"/>
  <c r="K67" i="2"/>
  <c r="K69" i="2" s="1"/>
  <c r="K70" i="2" s="1"/>
  <c r="H67" i="2"/>
  <c r="H69" i="2" s="1"/>
  <c r="H70" i="2" s="1"/>
  <c r="I67" i="2"/>
  <c r="I69" i="2" s="1"/>
  <c r="I70" i="2" s="1"/>
  <c r="N13" i="2"/>
  <c r="C67" i="2"/>
  <c r="C69" i="2" s="1"/>
  <c r="C70" i="2" s="1"/>
  <c r="M69" i="2"/>
  <c r="M70" i="2" s="1"/>
  <c r="J67" i="2"/>
  <c r="J69" i="2" s="1"/>
  <c r="J70" i="2" s="1"/>
  <c r="L67" i="2"/>
  <c r="L69" i="2" s="1"/>
  <c r="L70" i="2" s="1"/>
  <c r="N62" i="2"/>
  <c r="N61" i="2"/>
  <c r="N63" i="2"/>
  <c r="N59" i="2"/>
  <c r="F67" i="2"/>
  <c r="F69" i="2" s="1"/>
  <c r="F70" i="2" s="1"/>
  <c r="N28" i="2"/>
  <c r="N30" i="2" s="1"/>
  <c r="N19" i="2"/>
  <c r="N22" i="2" s="1"/>
  <c r="N67" i="7" l="1"/>
  <c r="N69" i="7" s="1"/>
  <c r="B69" i="7"/>
  <c r="B70" i="7" s="1"/>
  <c r="N62" i="6"/>
  <c r="B67" i="6"/>
  <c r="N67" i="5"/>
  <c r="N69" i="5" s="1"/>
  <c r="N70" i="5" s="1"/>
  <c r="B69" i="5"/>
  <c r="N67" i="4"/>
  <c r="N69" i="4" s="1"/>
  <c r="E69" i="4"/>
  <c r="E70" i="4" s="1"/>
  <c r="B67" i="2"/>
  <c r="N67" i="2" s="1"/>
  <c r="N69" i="2" s="1"/>
  <c r="N70" i="2" s="1"/>
  <c r="N65" i="3"/>
  <c r="B67" i="3"/>
  <c r="B69" i="3" s="1"/>
  <c r="N67" i="6" l="1"/>
  <c r="N69" i="6" s="1"/>
  <c r="N70" i="6" s="1"/>
  <c r="B69" i="6"/>
  <c r="B70" i="6" s="1"/>
  <c r="B69" i="2"/>
  <c r="B70" i="2" s="1"/>
  <c r="N67" i="3"/>
  <c r="N69" i="3" s="1"/>
  <c r="B7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<sst xmlns="http://schemas.openxmlformats.org/spreadsheetml/2006/main" count="2145" uniqueCount="150">
  <si>
    <t>MFR Analytics</t>
  </si>
  <si>
    <t>Financial Planning &amp; Analysis Model</t>
  </si>
  <si>
    <t>2024-2026</t>
  </si>
  <si>
    <t>Revenue Assumptions</t>
  </si>
  <si>
    <t>Subscription Revenue</t>
  </si>
  <si>
    <t>Professional Services Revenue</t>
  </si>
  <si>
    <t>Total Revenue</t>
  </si>
  <si>
    <t>Revenue Growth</t>
  </si>
  <si>
    <t>Department</t>
  </si>
  <si>
    <t>2024 Headcount</t>
  </si>
  <si>
    <t>Engineering</t>
  </si>
  <si>
    <t>Sales</t>
  </si>
  <si>
    <t>Customer Success</t>
  </si>
  <si>
    <t>Marketing</t>
  </si>
  <si>
    <t>Product</t>
  </si>
  <si>
    <t>G&amp;A</t>
  </si>
  <si>
    <t>Total</t>
  </si>
  <si>
    <t>Assumption</t>
  </si>
  <si>
    <t>Benefits as % of Salary</t>
  </si>
  <si>
    <t>Annual Salary Increase</t>
  </si>
  <si>
    <t>Subscription Revenue %</t>
  </si>
  <si>
    <t>Professional Services Revenue %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</si>
  <si>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</si>
  <si>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</si>
  <si>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</si>
  <si>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</si>
  <si>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</si>
  <si>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</si>
  <si>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</si>
  <si>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</si>
  <si>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</si>
  <si>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</si>
  <si>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</si>
  <si>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</si>
  <si>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</si>
  <si>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2024</t>
  </si>
  <si>
    <t>Professional Services</t>
  </si>
  <si>
    <t>Salaries &amp; Wages</t>
  </si>
  <si>
    <t>Employee Benefits</t>
  </si>
  <si>
    <t>Sales Commissions</t>
  </si>
  <si>
    <t>Software &amp; Tools</t>
  </si>
  <si>
    <t>Travel &amp; Entertainment</t>
  </si>
  <si>
    <t>Total Sales Expenses</t>
  </si>
  <si>
    <t>Software Cost per Employee</t>
  </si>
  <si>
    <t>Sales Travel per Employee</t>
  </si>
  <si>
    <t>Marketing &amp; Advertising % of Revenue</t>
  </si>
  <si>
    <t>Engineering Cloud &amp; Hosting % of Revenue</t>
  </si>
  <si>
    <t>Rent &amp; Facilities per Employee</t>
  </si>
  <si>
    <t>Operating Expense Assumptions</t>
  </si>
  <si>
    <t>Marketing &amp; Advertising</t>
  </si>
  <si>
    <t>Total Marketing Expenses</t>
  </si>
  <si>
    <t>Marketing Travel per Employee</t>
  </si>
  <si>
    <t>Cloud &amp; Hosting</t>
  </si>
  <si>
    <t>Total Engineering Expenses</t>
  </si>
  <si>
    <t>Total Product Expenses</t>
  </si>
  <si>
    <t>Total Customer Success Expenses</t>
  </si>
  <si>
    <t>Customer Success Travel Per Employee</t>
  </si>
  <si>
    <t>Consulting &amp; Professional Fees</t>
  </si>
  <si>
    <t>Rent &amp; Facilities</t>
  </si>
  <si>
    <t>Total G&amp;A Expenses</t>
  </si>
  <si>
    <t>G&amp;A Consulting &amp; Professional Fees</t>
  </si>
  <si>
    <t>Sales Commission % of Subscription Revenue</t>
  </si>
  <si>
    <t>Product Consulting &amp; Contractors Budget</t>
  </si>
  <si>
    <t>2024 Budget Summary</t>
  </si>
  <si>
    <t>Sales Expenses</t>
  </si>
  <si>
    <t>Marketing Expenses</t>
  </si>
  <si>
    <t>Engineering Expenses</t>
  </si>
  <si>
    <t>Product Expenses</t>
  </si>
  <si>
    <t>Customer Success Expenses</t>
  </si>
  <si>
    <t>G&amp;A Expenses</t>
  </si>
  <si>
    <t>Total Operating Expenses</t>
  </si>
  <si>
    <t>Operating Profit</t>
  </si>
  <si>
    <t>Operating Margin</t>
  </si>
  <si>
    <t>Month</t>
  </si>
  <si>
    <t>Monthly Revenue Allocation</t>
  </si>
  <si>
    <t>2025 Headcount</t>
  </si>
  <si>
    <t>2024 Avg. Salary</t>
  </si>
  <si>
    <t>2025 Avg. Salary</t>
  </si>
  <si>
    <t>2024 Value</t>
  </si>
  <si>
    <t>2025 Value</t>
  </si>
  <si>
    <t>% of Annual Revenue 2024</t>
  </si>
  <si>
    <t>% of Annual Revenue 2025</t>
  </si>
  <si>
    <t>FY 2025</t>
  </si>
  <si>
    <t>2025 Budget Summary</t>
  </si>
  <si>
    <t>Proposed 2026 Headcount</t>
  </si>
  <si>
    <t>2026 Avg. Salary</t>
  </si>
  <si>
    <t>2026 Value</t>
  </si>
  <si>
    <t>FY 2026</t>
  </si>
  <si>
    <t>2026 Budget Summary</t>
  </si>
  <si>
    <t>2024 Actual Revenue</t>
  </si>
  <si>
    <t>2024 Actual Sales</t>
  </si>
  <si>
    <t>2024 Actual Marketing</t>
  </si>
  <si>
    <t>2024 Actual Engineering</t>
  </si>
  <si>
    <t>2024 Actual Product</t>
  </si>
  <si>
    <t>Consulting &amp; Contractors</t>
  </si>
  <si>
    <t>2024 Actual Customer Success</t>
  </si>
  <si>
    <t>2024 Actual G&amp;A</t>
  </si>
  <si>
    <t>2024 Actual Summary</t>
  </si>
  <si>
    <t>2025 Actual Revenue</t>
  </si>
  <si>
    <t>2025 Actual Sales</t>
  </si>
  <si>
    <t>2025 Actual Marketing</t>
  </si>
  <si>
    <t>2025 Actual Engineering</t>
  </si>
  <si>
    <t>2025 Actual Product</t>
  </si>
  <si>
    <t>2025 Actual Customer Success</t>
  </si>
  <si>
    <t>2025 Actual Summary</t>
  </si>
  <si>
    <t>2025 Actual G&amp;A</t>
  </si>
  <si>
    <t>2026 Actual Revenue</t>
  </si>
  <si>
    <t>2026 Actual Sales</t>
  </si>
  <si>
    <t>2026 Actual Marketing</t>
  </si>
  <si>
    <t>2026 Actual Engineering</t>
  </si>
  <si>
    <t>2026 Actual Product</t>
  </si>
  <si>
    <t>2026 Actual Customer Success</t>
  </si>
  <si>
    <t>2026 Actual G&amp;A</t>
  </si>
  <si>
    <t>2026 Actual Summary</t>
  </si>
  <si>
    <t>Budget</t>
  </si>
  <si>
    <t>Actual</t>
  </si>
  <si>
    <t>Variance $</t>
  </si>
  <si>
    <t>Variance %</t>
  </si>
  <si>
    <t>F / U</t>
  </si>
  <si>
    <t>N/A</t>
  </si>
  <si>
    <t>January 2024 Variance Analysis</t>
  </si>
  <si>
    <t>FY 2024 Variance Analysis</t>
  </si>
  <si>
    <t>January 2025 Variance Analysis</t>
  </si>
  <si>
    <t>FY 2025 Variance Analysis</t>
  </si>
  <si>
    <t>January 2026 Variance Analysis</t>
  </si>
  <si>
    <t>FY 2026 Variance Analysis</t>
  </si>
  <si>
    <t>Year</t>
  </si>
  <si>
    <t>Metric</t>
  </si>
  <si>
    <t>Management Commentary</t>
  </si>
  <si>
    <t>Subscription revenue finished below plan due to slower customer acquisition in the first half.</t>
  </si>
  <si>
    <t>Sales expenses finished below budget, reflecting lower-than-planned spending and subscription-driven commissions.</t>
  </si>
  <si>
    <t>Marketing spend exceeded budget as management increased investment to support customer acquisition.</t>
  </si>
  <si>
    <t>Engineering exceeded budget primarily due to higher cloud and hosting costs.</t>
  </si>
  <si>
    <t>Revenue underperformance and higher Marketing and Engineering costs drove operating profit below plan.</t>
  </si>
  <si>
    <t>Stronger subscription demand drove revenue above budget.</t>
  </si>
  <si>
    <t>Sales expenses exceeded budget as spending increased to support stronger customer growth.</t>
  </si>
  <si>
    <t>Marketing investment remained above plan to support continued revenue growth.</t>
  </si>
  <si>
    <t>Engineering remained above budget due to continued cloud-cost pressure.</t>
  </si>
  <si>
    <t>Revenue outperformance more than offset higher operating expenses, resulting in profit above plan.</t>
  </si>
  <si>
    <t>Strong subscription growth drove revenue $1.15M above budget.</t>
  </si>
  <si>
    <t>Sales expenses exceeded budget as the company supported higher-than-planned revenue growth.</t>
  </si>
  <si>
    <t>Marketing spending remained above plan as the company continued investing in growth.</t>
  </si>
  <si>
    <t>Engineering was the largest departmental overspend, driven by higher infrastructure and cloud costs.</t>
  </si>
  <si>
    <t>Revenue outperformance more than offset higher operating expenses, driving profit $657K above budget.</t>
  </si>
  <si>
    <t>Date</t>
  </si>
  <si>
    <t>Category</t>
  </si>
  <si>
    <t>Company</t>
  </si>
  <si>
    <t>Tableau Budget</t>
  </si>
  <si>
    <t>Expected Budget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</si>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</sst>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8" formatCode="0.0%"/>
    <numFmt numFmtId="169" formatCode="&quot;$&quot;#,##0.0_);[Red]\(&quot;$&quot;#,##0.0\)"/>
    <numFmt numFmtId="171" formatCode="0.00\ &quot;pts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68" fontId="0" fillId="0" borderId="0" xfId="0" applyNumberFormat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169" fontId="0" fillId="0" borderId="0" xfId="0" applyNumberFormat="1" applyAlignment="1">
      <alignment horizontal="right" vertical="center"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9" fontId="1" fillId="0" borderId="0" xfId="0" applyNumberFormat="1" applyFont="1" applyAlignment="1">
      <alignment horizontal="right" vertical="center" wrapText="1"/>
    </xf>
    <xf numFmtId="8" fontId="0" fillId="0" borderId="0" xfId="0" applyNumberFormat="1" applyAlignment="1"/>
    <xf numFmtId="0" fontId="0" fillId="0" borderId="0" xfId="0" applyAlignment="1"/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 applyFont="1" applyAlignment="1">
      <alignment horizontal="right" vertical="center" wrapText="1"/>
    </xf>
    <xf numFmtId="10" fontId="0" fillId="0" borderId="0" xfId="0" applyNumberFormat="1" applyFont="1" applyAlignment="1">
      <alignment horizontal="right" vertical="center" wrapText="1"/>
    </xf>
    <xf numFmtId="17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3A2D-2A1C-4395-AF19-F9A85DAE213F}">
  <dimension ref="A1:N65"/>
  <sheetViews>
    <sheetView topLeftCell="A4" workbookViewId="0">
      <selection activeCell="D49" sqref="D49"/>
    </sheetView>
  </sheetViews>
  <sheetFormatPr defaultRowHeight="14.5" x14ac:dyDescent="0.35"/>
  <cols>
    <col min="1" max="1" width="14.08984375" customWidth="1"/>
    <col min="2" max="2" width="11.26953125" bestFit="1" customWidth="1"/>
    <col min="3" max="3" width="13.90625" bestFit="1" customWidth="1"/>
    <col min="4" max="4" width="12.90625" bestFit="1" customWidth="1"/>
  </cols>
  <sheetData>
    <row r="1" spans="1:4" x14ac:dyDescent="0.35">
      <c r="A1" s="1" t="s">
        <v>0</v>
      </c>
    </row>
    <row r="2" spans="1:4" x14ac:dyDescent="0.35">
      <c r="A2" t="s">
        <v>1</v>
      </c>
    </row>
    <row r="3" spans="1:4" x14ac:dyDescent="0.35">
      <c r="A3" t="s">
        <v>2</v>
      </c>
    </row>
    <row r="6" spans="1:4" ht="29" x14ac:dyDescent="0.35">
      <c r="A6" s="7" t="s">
        <v>3</v>
      </c>
      <c r="B6" s="5">
        <v>2024</v>
      </c>
      <c r="C6" s="5">
        <v>2025</v>
      </c>
      <c r="D6" s="5">
        <v>2026</v>
      </c>
    </row>
    <row r="7" spans="1:4" ht="29" x14ac:dyDescent="0.35">
      <c r="A7" s="6" t="s">
        <v>4</v>
      </c>
      <c r="B7" s="9">
        <v>36000000</v>
      </c>
      <c r="C7" s="9">
        <v>41400000</v>
      </c>
      <c r="D7" s="14">
        <f>C7*(1+D10)</f>
        <v>47610000</v>
      </c>
    </row>
    <row r="8" spans="1:4" ht="43.5" x14ac:dyDescent="0.35">
      <c r="A8" s="6" t="s">
        <v>5</v>
      </c>
      <c r="B8" s="9">
        <v>4000000</v>
      </c>
      <c r="C8" s="9">
        <f>B8*(1+B10)</f>
        <v>4600000</v>
      </c>
      <c r="D8" s="14">
        <f>C8*(1+D10)</f>
        <v>5290000</v>
      </c>
    </row>
    <row r="9" spans="1:4" x14ac:dyDescent="0.35">
      <c r="A9" s="7" t="s">
        <v>6</v>
      </c>
      <c r="B9" s="9">
        <f>SUM(B7:B8)</f>
        <v>40000000</v>
      </c>
      <c r="C9" s="9">
        <f>SUM(C7:C8)</f>
        <v>46000000</v>
      </c>
      <c r="D9" s="14">
        <f>SUM(D7:D8)</f>
        <v>52900000</v>
      </c>
    </row>
    <row r="10" spans="1:4" x14ac:dyDescent="0.35">
      <c r="A10" s="6" t="s">
        <v>7</v>
      </c>
      <c r="B10" s="12">
        <v>0.15</v>
      </c>
      <c r="C10" s="12">
        <v>0.15</v>
      </c>
      <c r="D10" s="12">
        <v>0.15</v>
      </c>
    </row>
    <row r="13" spans="1:4" ht="29" x14ac:dyDescent="0.35">
      <c r="A13" s="3" t="s">
        <v>8</v>
      </c>
      <c r="B13" s="5" t="s">
        <v>9</v>
      </c>
      <c r="C13" s="1" t="s">
        <v>75</v>
      </c>
      <c r="D13" s="1" t="s">
        <v>84</v>
      </c>
    </row>
    <row r="14" spans="1:4" x14ac:dyDescent="0.35">
      <c r="A14" s="6" t="s">
        <v>10</v>
      </c>
      <c r="B14" s="4">
        <v>70</v>
      </c>
      <c r="C14">
        <v>76</v>
      </c>
      <c r="D14">
        <v>82</v>
      </c>
    </row>
    <row r="15" spans="1:4" x14ac:dyDescent="0.35">
      <c r="A15" s="6" t="s">
        <v>11</v>
      </c>
      <c r="B15" s="4">
        <v>50</v>
      </c>
      <c r="C15">
        <v>55</v>
      </c>
      <c r="D15">
        <v>60</v>
      </c>
    </row>
    <row r="16" spans="1:4" ht="29" x14ac:dyDescent="0.35">
      <c r="A16" s="6" t="s">
        <v>12</v>
      </c>
      <c r="B16" s="4">
        <v>30</v>
      </c>
      <c r="C16">
        <v>33</v>
      </c>
      <c r="D16">
        <v>36</v>
      </c>
    </row>
    <row r="17" spans="1:4" x14ac:dyDescent="0.35">
      <c r="A17" s="6" t="s">
        <v>13</v>
      </c>
      <c r="B17" s="4">
        <v>20</v>
      </c>
      <c r="C17">
        <v>22</v>
      </c>
      <c r="D17">
        <v>24</v>
      </c>
    </row>
    <row r="18" spans="1:4" x14ac:dyDescent="0.35">
      <c r="A18" s="6" t="s">
        <v>14</v>
      </c>
      <c r="B18" s="4">
        <v>15</v>
      </c>
      <c r="C18">
        <v>17</v>
      </c>
      <c r="D18">
        <v>19</v>
      </c>
    </row>
    <row r="19" spans="1:4" x14ac:dyDescent="0.35">
      <c r="A19" s="6" t="s">
        <v>15</v>
      </c>
      <c r="B19" s="4">
        <v>25</v>
      </c>
      <c r="C19">
        <v>26</v>
      </c>
      <c r="D19">
        <v>27</v>
      </c>
    </row>
    <row r="20" spans="1:4" x14ac:dyDescent="0.35">
      <c r="A20" s="7" t="s">
        <v>16</v>
      </c>
      <c r="B20" s="5">
        <f>SUM(B14:B19)</f>
        <v>210</v>
      </c>
      <c r="C20" s="1">
        <f>SUM(C14:C19)</f>
        <v>229</v>
      </c>
      <c r="D20" s="1">
        <f>SUM(D14:D19)</f>
        <v>248</v>
      </c>
    </row>
    <row r="23" spans="1:4" ht="29" x14ac:dyDescent="0.35">
      <c r="A23" s="3" t="s">
        <v>8</v>
      </c>
      <c r="B23" s="5" t="s">
        <v>76</v>
      </c>
      <c r="C23" s="5" t="s">
        <v>77</v>
      </c>
      <c r="D23" s="1" t="s">
        <v>85</v>
      </c>
    </row>
    <row r="24" spans="1:4" x14ac:dyDescent="0.35">
      <c r="A24" s="6" t="s">
        <v>10</v>
      </c>
      <c r="B24" s="9">
        <v>135000</v>
      </c>
      <c r="C24" s="15">
        <f>B24*(1+$B$34)</f>
        <v>139050</v>
      </c>
      <c r="D24" s="15">
        <f>C24*(1+$C$34)</f>
        <v>143221.5</v>
      </c>
    </row>
    <row r="25" spans="1:4" x14ac:dyDescent="0.35">
      <c r="A25" s="6" t="s">
        <v>11</v>
      </c>
      <c r="B25" s="9">
        <v>100000</v>
      </c>
      <c r="C25" s="15">
        <f t="shared" ref="C25:C29" si="0">B25*(1+$B$34)</f>
        <v>103000</v>
      </c>
      <c r="D25" s="15">
        <f t="shared" ref="D25:D29" si="1">C25*(1+$C$34)</f>
        <v>106090</v>
      </c>
    </row>
    <row r="26" spans="1:4" ht="29" x14ac:dyDescent="0.35">
      <c r="A26" s="6" t="s">
        <v>12</v>
      </c>
      <c r="B26" s="9">
        <v>85000</v>
      </c>
      <c r="C26" s="15">
        <f t="shared" si="0"/>
        <v>87550</v>
      </c>
      <c r="D26" s="15">
        <f t="shared" si="1"/>
        <v>90176.5</v>
      </c>
    </row>
    <row r="27" spans="1:4" x14ac:dyDescent="0.35">
      <c r="A27" s="6" t="s">
        <v>13</v>
      </c>
      <c r="B27" s="9">
        <v>95000</v>
      </c>
      <c r="C27" s="15">
        <f t="shared" si="0"/>
        <v>97850</v>
      </c>
      <c r="D27" s="15">
        <f t="shared" si="1"/>
        <v>100785.5</v>
      </c>
    </row>
    <row r="28" spans="1:4" x14ac:dyDescent="0.35">
      <c r="A28" s="6" t="s">
        <v>14</v>
      </c>
      <c r="B28" s="9">
        <v>125000</v>
      </c>
      <c r="C28" s="15">
        <f t="shared" si="0"/>
        <v>128750</v>
      </c>
      <c r="D28" s="15">
        <f t="shared" si="1"/>
        <v>132612.5</v>
      </c>
    </row>
    <row r="29" spans="1:4" x14ac:dyDescent="0.35">
      <c r="A29" s="6" t="s">
        <v>15</v>
      </c>
      <c r="B29" s="9">
        <v>105000</v>
      </c>
      <c r="C29" s="15">
        <f t="shared" si="0"/>
        <v>108150</v>
      </c>
      <c r="D29" s="15">
        <f>C29*(1+$C$34)</f>
        <v>111394.5</v>
      </c>
    </row>
    <row r="32" spans="1:4" x14ac:dyDescent="0.35">
      <c r="A32" s="3" t="s">
        <v>17</v>
      </c>
      <c r="B32" s="5" t="s">
        <v>78</v>
      </c>
      <c r="C32" s="1" t="s">
        <v>79</v>
      </c>
      <c r="D32" s="1" t="s">
        <v>86</v>
      </c>
    </row>
    <row r="33" spans="1:4" ht="29" x14ac:dyDescent="0.35">
      <c r="A33" s="6" t="s">
        <v>18</v>
      </c>
      <c r="B33" s="12">
        <v>0.2</v>
      </c>
      <c r="C33" s="12">
        <v>0.2</v>
      </c>
      <c r="D33" s="12">
        <v>0.2</v>
      </c>
    </row>
    <row r="34" spans="1:4" ht="29" x14ac:dyDescent="0.35">
      <c r="A34" s="6" t="s">
        <v>19</v>
      </c>
      <c r="B34" s="12">
        <v>0.03</v>
      </c>
      <c r="C34" s="12">
        <v>0.03</v>
      </c>
      <c r="D34" s="12">
        <v>0.03</v>
      </c>
    </row>
    <row r="35" spans="1:4" ht="29" x14ac:dyDescent="0.35">
      <c r="A35" s="6" t="s">
        <v>20</v>
      </c>
      <c r="B35" s="12">
        <v>0.9</v>
      </c>
      <c r="C35" s="12">
        <v>0.9</v>
      </c>
      <c r="D35" s="12">
        <v>0.9</v>
      </c>
    </row>
    <row r="36" spans="1:4" ht="43.5" x14ac:dyDescent="0.35">
      <c r="A36" s="6" t="s">
        <v>21</v>
      </c>
      <c r="B36" s="12">
        <v>0.1</v>
      </c>
      <c r="C36" s="12">
        <v>0.1</v>
      </c>
      <c r="D36" s="12">
        <v>0.1</v>
      </c>
    </row>
    <row r="39" spans="1:4" ht="43.5" x14ac:dyDescent="0.35">
      <c r="A39" s="3" t="s">
        <v>48</v>
      </c>
      <c r="B39" s="5">
        <v>2024</v>
      </c>
      <c r="C39" s="1">
        <v>2025</v>
      </c>
      <c r="D39" s="1">
        <v>2026</v>
      </c>
    </row>
    <row r="40" spans="1:4" ht="58" x14ac:dyDescent="0.35">
      <c r="A40" s="6" t="s">
        <v>61</v>
      </c>
      <c r="B40" s="11">
        <v>0.05</v>
      </c>
      <c r="C40" s="11">
        <v>0.05</v>
      </c>
      <c r="D40" s="11">
        <v>0.05</v>
      </c>
    </row>
    <row r="41" spans="1:4" ht="29" x14ac:dyDescent="0.35">
      <c r="A41" s="6" t="s">
        <v>43</v>
      </c>
      <c r="B41" s="9">
        <v>3000</v>
      </c>
      <c r="C41" s="9">
        <v>3000</v>
      </c>
      <c r="D41" s="9">
        <v>3000</v>
      </c>
    </row>
    <row r="42" spans="1:4" ht="29" x14ac:dyDescent="0.35">
      <c r="A42" s="6" t="s">
        <v>44</v>
      </c>
      <c r="B42" s="9">
        <v>4000</v>
      </c>
      <c r="C42" s="9">
        <v>4000</v>
      </c>
      <c r="D42" s="9">
        <v>4000</v>
      </c>
    </row>
    <row r="43" spans="1:4" ht="43.5" x14ac:dyDescent="0.35">
      <c r="A43" s="6" t="s">
        <v>56</v>
      </c>
      <c r="B43" s="9">
        <v>2000</v>
      </c>
      <c r="C43" s="9">
        <v>2000</v>
      </c>
      <c r="D43" s="9">
        <v>2000</v>
      </c>
    </row>
    <row r="44" spans="1:4" ht="29" x14ac:dyDescent="0.35">
      <c r="A44" s="16" t="s">
        <v>51</v>
      </c>
      <c r="B44" s="9">
        <v>2500</v>
      </c>
      <c r="C44" s="9">
        <v>2500</v>
      </c>
      <c r="D44" s="9">
        <v>2500</v>
      </c>
    </row>
    <row r="45" spans="1:4" ht="43.5" x14ac:dyDescent="0.35">
      <c r="A45" s="6" t="s">
        <v>45</v>
      </c>
      <c r="B45" s="11">
        <v>0.06</v>
      </c>
      <c r="C45" s="11">
        <v>0.06</v>
      </c>
      <c r="D45" s="11">
        <v>0.06</v>
      </c>
    </row>
    <row r="46" spans="1:4" ht="43.5" x14ac:dyDescent="0.35">
      <c r="A46" s="6" t="s">
        <v>46</v>
      </c>
      <c r="B46" s="11">
        <v>0.04</v>
      </c>
      <c r="C46" s="11">
        <v>0.04</v>
      </c>
      <c r="D46" s="11">
        <v>0.04</v>
      </c>
    </row>
    <row r="47" spans="1:4" ht="58" x14ac:dyDescent="0.35">
      <c r="A47" s="6" t="s">
        <v>62</v>
      </c>
      <c r="B47" s="9">
        <v>250000</v>
      </c>
      <c r="C47" s="9">
        <v>300000</v>
      </c>
      <c r="D47" s="9">
        <v>325000</v>
      </c>
    </row>
    <row r="48" spans="1:4" ht="43.5" x14ac:dyDescent="0.35">
      <c r="A48" s="6" t="s">
        <v>60</v>
      </c>
      <c r="B48" s="13">
        <v>400000</v>
      </c>
      <c r="C48" s="13">
        <v>425000</v>
      </c>
      <c r="D48" s="13">
        <v>450000</v>
      </c>
    </row>
    <row r="49" spans="1:14" ht="29" x14ac:dyDescent="0.35">
      <c r="A49" s="6" t="s">
        <v>47</v>
      </c>
      <c r="B49" s="9">
        <v>6000</v>
      </c>
      <c r="C49" s="9">
        <v>6000</v>
      </c>
      <c r="D49" s="9">
        <v>6000</v>
      </c>
    </row>
    <row r="52" spans="1:14" ht="43.5" x14ac:dyDescent="0.35">
      <c r="A52" s="3" t="s">
        <v>74</v>
      </c>
      <c r="B52" s="5" t="s">
        <v>23</v>
      </c>
      <c r="C52" s="5" t="s">
        <v>24</v>
      </c>
      <c r="D52" s="5" t="s">
        <v>25</v>
      </c>
      <c r="E52" s="5" t="s">
        <v>26</v>
      </c>
      <c r="F52" s="5" t="s">
        <v>27</v>
      </c>
      <c r="G52" s="5" t="s">
        <v>28</v>
      </c>
      <c r="H52" s="5" t="s">
        <v>29</v>
      </c>
      <c r="I52" s="5" t="s">
        <v>30</v>
      </c>
      <c r="J52" s="5" t="s">
        <v>31</v>
      </c>
      <c r="K52" s="5" t="s">
        <v>32</v>
      </c>
      <c r="L52" s="5" t="s">
        <v>33</v>
      </c>
      <c r="M52" s="5" t="s">
        <v>34</v>
      </c>
      <c r="N52" s="5" t="s">
        <v>16</v>
      </c>
    </row>
    <row r="53" spans="1:14" ht="29" x14ac:dyDescent="0.35">
      <c r="A53" s="7" t="s">
        <v>80</v>
      </c>
      <c r="B53" s="11">
        <v>7.0000000000000007E-2</v>
      </c>
      <c r="C53" s="11">
        <v>7.0000000000000007E-2</v>
      </c>
      <c r="D53" s="11">
        <v>0.08</v>
      </c>
      <c r="E53" s="11">
        <v>0.08</v>
      </c>
      <c r="F53" s="11">
        <v>0.08</v>
      </c>
      <c r="G53" s="11">
        <v>0.08</v>
      </c>
      <c r="H53" s="11">
        <v>0.08</v>
      </c>
      <c r="I53" s="11">
        <v>0.08</v>
      </c>
      <c r="J53" s="11">
        <v>0.09</v>
      </c>
      <c r="K53" s="11">
        <v>0.09</v>
      </c>
      <c r="L53" s="11">
        <v>0.09</v>
      </c>
      <c r="M53" s="11">
        <v>0.11</v>
      </c>
      <c r="N53" s="17">
        <f>SUM(B53:M53)</f>
        <v>0.99999999999999989</v>
      </c>
    </row>
    <row r="54" spans="1:14" ht="29" x14ac:dyDescent="0.35">
      <c r="A54" s="7" t="s">
        <v>81</v>
      </c>
      <c r="B54" s="11">
        <v>7.0000000000000007E-2</v>
      </c>
      <c r="C54" s="11">
        <v>7.0000000000000007E-2</v>
      </c>
      <c r="D54" s="11">
        <v>0.08</v>
      </c>
      <c r="E54" s="11">
        <v>0.08</v>
      </c>
      <c r="F54" s="11">
        <v>0.08</v>
      </c>
      <c r="G54" s="11">
        <v>0.08</v>
      </c>
      <c r="H54" s="11">
        <v>0.08</v>
      </c>
      <c r="I54" s="11">
        <v>0.08</v>
      </c>
      <c r="J54" s="11">
        <v>0.09</v>
      </c>
      <c r="K54" s="11">
        <v>0.09</v>
      </c>
      <c r="L54" s="11">
        <v>0.09</v>
      </c>
      <c r="M54" s="11">
        <v>0.11</v>
      </c>
      <c r="N54" s="17">
        <f>SUM(B54:M54)</f>
        <v>0.99999999999999989</v>
      </c>
    </row>
    <row r="55" spans="1:14" x14ac:dyDescent="0.35">
      <c r="A55" s="6"/>
      <c r="B55" s="11"/>
    </row>
    <row r="56" spans="1:14" x14ac:dyDescent="0.35">
      <c r="A56" s="6"/>
      <c r="B56" s="11"/>
    </row>
    <row r="57" spans="1:14" x14ac:dyDescent="0.35">
      <c r="A57" s="6"/>
      <c r="B57" s="11"/>
    </row>
    <row r="58" spans="1:14" x14ac:dyDescent="0.35">
      <c r="A58" s="6"/>
      <c r="B58" s="11"/>
    </row>
    <row r="59" spans="1:14" x14ac:dyDescent="0.35">
      <c r="A59" s="6"/>
      <c r="B59" s="11"/>
    </row>
    <row r="60" spans="1:14" x14ac:dyDescent="0.35">
      <c r="A60" s="6"/>
      <c r="B60" s="11"/>
    </row>
    <row r="61" spans="1:14" x14ac:dyDescent="0.35">
      <c r="A61" s="6"/>
      <c r="B61" s="11"/>
    </row>
    <row r="62" spans="1:14" x14ac:dyDescent="0.35">
      <c r="A62" s="6"/>
      <c r="B62" s="11"/>
    </row>
    <row r="63" spans="1:14" x14ac:dyDescent="0.35">
      <c r="A63" s="6"/>
      <c r="B63" s="11"/>
    </row>
    <row r="64" spans="1:14" x14ac:dyDescent="0.35">
      <c r="A64" s="6"/>
      <c r="B64" s="11"/>
    </row>
    <row r="65" spans="1:2" x14ac:dyDescent="0.35">
      <c r="A65" s="7"/>
      <c r="B65" s="17"/>
    </row>
  </sheetData>
  <pageMargins left="0.7" right="0.7" top="0.75" bottom="0.75" header="0.3" footer="0.3"/>
  <pageSetup orientation="portrait" r:id="rId1"/>
  <ignoredErrors>
    <ignoredError sqref="B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9208-6F21-4C7B-A836-4D2CCF079F76}">
  <dimension ref="A1:N70"/>
  <sheetViews>
    <sheetView topLeftCell="E54" zoomScale="67" workbookViewId="0">
      <selection activeCell="J67" sqref="J67"/>
    </sheetView>
  </sheetViews>
  <sheetFormatPr defaultRowHeight="14.5" x14ac:dyDescent="0.35"/>
  <cols>
    <col min="1" max="1" width="13.26953125" customWidth="1"/>
    <col min="2" max="2" width="19.26953125" bestFit="1" customWidth="1"/>
    <col min="3" max="13" width="15.54296875" bestFit="1" customWidth="1"/>
    <col min="14" max="14" width="14.54296875" bestFit="1" customWidth="1"/>
  </cols>
  <sheetData>
    <row r="1" spans="1:14" x14ac:dyDescent="0.35">
      <c r="A1" s="3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</row>
    <row r="2" spans="1:14" ht="29" x14ac:dyDescent="0.35">
      <c r="A2" s="6" t="s">
        <v>4</v>
      </c>
      <c r="B2" s="13">
        <f>assumptions!$B$7*assumptions!B53</f>
        <v>2520000.0000000005</v>
      </c>
      <c r="C2" s="13">
        <f>assumptions!$B$7*assumptions!C53</f>
        <v>2520000.0000000005</v>
      </c>
      <c r="D2" s="13">
        <f>assumptions!$B$7*assumptions!D53</f>
        <v>2880000</v>
      </c>
      <c r="E2" s="13">
        <f>assumptions!$B$7*assumptions!E53</f>
        <v>2880000</v>
      </c>
      <c r="F2" s="13">
        <f>assumptions!$B$7*assumptions!F53</f>
        <v>2880000</v>
      </c>
      <c r="G2" s="13">
        <f>assumptions!$B$7*assumptions!G53</f>
        <v>2880000</v>
      </c>
      <c r="H2" s="13">
        <f>assumptions!$B$7*assumptions!H53</f>
        <v>2880000</v>
      </c>
      <c r="I2" s="13">
        <f>assumptions!$B$7*assumptions!I53</f>
        <v>2880000</v>
      </c>
      <c r="J2" s="13">
        <f>assumptions!$B$7*assumptions!J53</f>
        <v>3240000</v>
      </c>
      <c r="K2" s="13">
        <f>assumptions!$B$7*assumptions!K53</f>
        <v>3240000</v>
      </c>
      <c r="L2" s="13">
        <f>assumptions!$B$7*assumptions!L53</f>
        <v>3240000</v>
      </c>
      <c r="M2" s="13">
        <f>assumptions!$B$7*assumptions!M53</f>
        <v>3960000</v>
      </c>
      <c r="N2" s="13">
        <f>SUM(B2:M2)</f>
        <v>36000000</v>
      </c>
    </row>
    <row r="3" spans="1:14" ht="29" x14ac:dyDescent="0.35">
      <c r="A3" s="6" t="s">
        <v>36</v>
      </c>
      <c r="B3" s="13">
        <f>assumptions!$B$8*assumptions!B53</f>
        <v>280000</v>
      </c>
      <c r="C3" s="13">
        <f>assumptions!$B$8*assumptions!C53</f>
        <v>280000</v>
      </c>
      <c r="D3" s="13">
        <f>assumptions!$B$8*assumptions!D53</f>
        <v>320000</v>
      </c>
      <c r="E3" s="13">
        <f>assumptions!$B$8*assumptions!E53</f>
        <v>320000</v>
      </c>
      <c r="F3" s="13">
        <f>assumptions!$B$8*assumptions!F53</f>
        <v>320000</v>
      </c>
      <c r="G3" s="13">
        <f>assumptions!$B$8*assumptions!G53</f>
        <v>320000</v>
      </c>
      <c r="H3" s="13">
        <f>assumptions!$B$8*assumptions!H53</f>
        <v>320000</v>
      </c>
      <c r="I3" s="13">
        <f>assumptions!$B$8*assumptions!I53</f>
        <v>320000</v>
      </c>
      <c r="J3" s="13">
        <f>assumptions!$B$8*assumptions!J53</f>
        <v>360000</v>
      </c>
      <c r="K3" s="13">
        <f>assumptions!$B$8*assumptions!K53</f>
        <v>360000</v>
      </c>
      <c r="L3" s="13">
        <f>assumptions!$B$8*assumptions!L53</f>
        <v>360000</v>
      </c>
      <c r="M3" s="13">
        <f>assumptions!$B$8*assumptions!M53</f>
        <v>440000</v>
      </c>
      <c r="N3" s="13">
        <f>SUM(B3:M3)</f>
        <v>4000000</v>
      </c>
    </row>
    <row r="4" spans="1:14" x14ac:dyDescent="0.35">
      <c r="A4" s="7" t="s">
        <v>6</v>
      </c>
      <c r="B4" s="13">
        <f>SUM(B2:B3)</f>
        <v>2800000.0000000005</v>
      </c>
      <c r="C4" s="13">
        <f t="shared" ref="C4:N4" si="0">SUM(C2:C3)</f>
        <v>2800000.0000000005</v>
      </c>
      <c r="D4" s="13">
        <f t="shared" si="0"/>
        <v>3200000</v>
      </c>
      <c r="E4" s="13">
        <f t="shared" si="0"/>
        <v>3200000</v>
      </c>
      <c r="F4" s="13">
        <f t="shared" si="0"/>
        <v>3200000</v>
      </c>
      <c r="G4" s="13">
        <f t="shared" si="0"/>
        <v>3200000</v>
      </c>
      <c r="H4" s="13">
        <f t="shared" si="0"/>
        <v>3200000</v>
      </c>
      <c r="I4" s="13">
        <f t="shared" si="0"/>
        <v>3200000</v>
      </c>
      <c r="J4" s="13">
        <f t="shared" si="0"/>
        <v>3600000</v>
      </c>
      <c r="K4" s="13">
        <f t="shared" si="0"/>
        <v>3600000</v>
      </c>
      <c r="L4" s="13">
        <f t="shared" si="0"/>
        <v>3600000</v>
      </c>
      <c r="M4" s="13">
        <f t="shared" si="0"/>
        <v>4400000</v>
      </c>
      <c r="N4" s="13">
        <f t="shared" si="0"/>
        <v>40000000</v>
      </c>
    </row>
    <row r="7" spans="1:14" x14ac:dyDescent="0.35">
      <c r="A7" s="3" t="s">
        <v>11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35</v>
      </c>
    </row>
    <row r="8" spans="1:14" ht="29" x14ac:dyDescent="0.35">
      <c r="A8" s="6" t="s">
        <v>37</v>
      </c>
      <c r="B8" s="13">
        <f>assumptions!$B$15*assumptions!$B$25/12</f>
        <v>416666.66666666669</v>
      </c>
      <c r="C8" s="13">
        <f>assumptions!$B$15*assumptions!$B$25/12</f>
        <v>416666.66666666669</v>
      </c>
      <c r="D8" s="13">
        <f>assumptions!$B$15*assumptions!$B$25/12</f>
        <v>416666.66666666669</v>
      </c>
      <c r="E8" s="13">
        <f>assumptions!$B$15*assumptions!$B$25/12</f>
        <v>416666.66666666669</v>
      </c>
      <c r="F8" s="13">
        <f>assumptions!$B$15*assumptions!$B$25/12</f>
        <v>416666.66666666669</v>
      </c>
      <c r="G8" s="13">
        <f>assumptions!$B$15*assumptions!$B$25/12</f>
        <v>416666.66666666669</v>
      </c>
      <c r="H8" s="13">
        <f>assumptions!$B$15*assumptions!$B$25/12</f>
        <v>416666.66666666669</v>
      </c>
      <c r="I8" s="13">
        <f>assumptions!$B$15*assumptions!$B$25/12</f>
        <v>416666.66666666669</v>
      </c>
      <c r="J8" s="13">
        <f>assumptions!$B$15*assumptions!$B$25/12</f>
        <v>416666.66666666669</v>
      </c>
      <c r="K8" s="13">
        <f>assumptions!$B$15*assumptions!$B$25/12</f>
        <v>416666.66666666669</v>
      </c>
      <c r="L8" s="13">
        <f>assumptions!$B$15*assumptions!$B$25/12</f>
        <v>416666.66666666669</v>
      </c>
      <c r="M8" s="13">
        <f>assumptions!$B$15*assumptions!$B$25/12</f>
        <v>416666.66666666669</v>
      </c>
      <c r="N8" s="13">
        <f>SUM(B8:M8)</f>
        <v>5000000</v>
      </c>
    </row>
    <row r="9" spans="1:14" ht="29" x14ac:dyDescent="0.35">
      <c r="A9" s="6" t="s">
        <v>38</v>
      </c>
      <c r="B9" s="13">
        <f>$B$8*assumptions!$B$33</f>
        <v>83333.333333333343</v>
      </c>
      <c r="C9" s="13">
        <f>$B$8*assumptions!$B$33</f>
        <v>83333.333333333343</v>
      </c>
      <c r="D9" s="13">
        <f>$B$8*assumptions!$B$33</f>
        <v>83333.333333333343</v>
      </c>
      <c r="E9" s="13">
        <f>$B$8*assumptions!$B$33</f>
        <v>83333.333333333343</v>
      </c>
      <c r="F9" s="13">
        <f>$B$8*assumptions!$B$33</f>
        <v>83333.333333333343</v>
      </c>
      <c r="G9" s="13">
        <f>$B$8*assumptions!$B$33</f>
        <v>83333.333333333343</v>
      </c>
      <c r="H9" s="13">
        <f>$B$8*assumptions!$B$33</f>
        <v>83333.333333333343</v>
      </c>
      <c r="I9" s="13">
        <f>$B$8*assumptions!$B$33</f>
        <v>83333.333333333343</v>
      </c>
      <c r="J9" s="13">
        <f>$B$8*assumptions!$B$33</f>
        <v>83333.333333333343</v>
      </c>
      <c r="K9" s="13">
        <f>$B$8*assumptions!$B$33</f>
        <v>83333.333333333343</v>
      </c>
      <c r="L9" s="13">
        <f>$B$8*assumptions!$B$33</f>
        <v>83333.333333333343</v>
      </c>
      <c r="M9" s="13">
        <f>$B$8*assumptions!$B$33</f>
        <v>83333.333333333343</v>
      </c>
      <c r="N9" s="13">
        <f>SUM(B9:M9)</f>
        <v>1000000.0000000003</v>
      </c>
    </row>
    <row r="10" spans="1:14" ht="29" x14ac:dyDescent="0.35">
      <c r="A10" s="6" t="s">
        <v>39</v>
      </c>
      <c r="B10" s="15">
        <f>B2*assumptions!$B$40</f>
        <v>126000.00000000003</v>
      </c>
      <c r="C10" s="15">
        <f>C2*assumptions!$B$40</f>
        <v>126000.00000000003</v>
      </c>
      <c r="D10" s="15">
        <f>D2*assumptions!$B$40</f>
        <v>144000</v>
      </c>
      <c r="E10" s="15">
        <f>E2*assumptions!$B$40</f>
        <v>144000</v>
      </c>
      <c r="F10" s="15">
        <f>F2*assumptions!$B$40</f>
        <v>144000</v>
      </c>
      <c r="G10" s="15">
        <f>G2*assumptions!$B$40</f>
        <v>144000</v>
      </c>
      <c r="H10" s="15">
        <f>H2*assumptions!$B$40</f>
        <v>144000</v>
      </c>
      <c r="I10" s="15">
        <f>I2*assumptions!$B$40</f>
        <v>144000</v>
      </c>
      <c r="J10" s="15">
        <f>J2*assumptions!$B$40</f>
        <v>162000</v>
      </c>
      <c r="K10" s="15">
        <f>K2*assumptions!$B$40</f>
        <v>162000</v>
      </c>
      <c r="L10" s="15">
        <f>L2*assumptions!$B$40</f>
        <v>162000</v>
      </c>
      <c r="M10" s="15">
        <f>M2*assumptions!$B$40</f>
        <v>198000</v>
      </c>
      <c r="N10" s="13">
        <f>SUM(B10:M10)</f>
        <v>1800000</v>
      </c>
    </row>
    <row r="11" spans="1:14" ht="29" x14ac:dyDescent="0.35">
      <c r="A11" s="6" t="s">
        <v>40</v>
      </c>
      <c r="B11" s="9">
        <f>(assumptions!$B$15*assumptions!$B$41)/12</f>
        <v>12500</v>
      </c>
      <c r="C11" s="9">
        <f>(assumptions!$B$15*assumptions!$B$41)/12</f>
        <v>12500</v>
      </c>
      <c r="D11" s="9">
        <f>(assumptions!$B$15*assumptions!$B$41)/12</f>
        <v>12500</v>
      </c>
      <c r="E11" s="9">
        <f>(assumptions!$B$15*assumptions!$B$41)/12</f>
        <v>12500</v>
      </c>
      <c r="F11" s="9">
        <f>(assumptions!$B$15*assumptions!$B$41)/12</f>
        <v>12500</v>
      </c>
      <c r="G11" s="9">
        <f>(assumptions!$B$15*assumptions!$B$41)/12</f>
        <v>12500</v>
      </c>
      <c r="H11" s="9">
        <f>(assumptions!$B$15*assumptions!$B$41)/12</f>
        <v>12500</v>
      </c>
      <c r="I11" s="9">
        <f>(assumptions!$B$15*assumptions!$B$41)/12</f>
        <v>12500</v>
      </c>
      <c r="J11" s="9">
        <f>(assumptions!$B$15*assumptions!$B$41)/12</f>
        <v>12500</v>
      </c>
      <c r="K11" s="9">
        <f>(assumptions!$B$15*assumptions!$B$41)/12</f>
        <v>12500</v>
      </c>
      <c r="L11" s="9">
        <f>(assumptions!$B$15*assumptions!$B$41)/12</f>
        <v>12500</v>
      </c>
      <c r="M11" s="9">
        <f>(assumptions!$B$15*assumptions!$B$41)/12</f>
        <v>12500</v>
      </c>
      <c r="N11" s="13">
        <f>SUM(B11:M11)</f>
        <v>150000</v>
      </c>
    </row>
    <row r="12" spans="1:14" ht="29" x14ac:dyDescent="0.35">
      <c r="A12" s="6" t="s">
        <v>41</v>
      </c>
      <c r="B12" s="13">
        <f>(assumptions!$B$15*assumptions!$B$42)/12</f>
        <v>16666.666666666668</v>
      </c>
      <c r="C12" s="13">
        <f>(assumptions!$B$15*assumptions!$B$42)/12</f>
        <v>16666.666666666668</v>
      </c>
      <c r="D12" s="13">
        <f>(assumptions!$B$15*assumptions!$B$42)/12</f>
        <v>16666.666666666668</v>
      </c>
      <c r="E12" s="13">
        <f>(assumptions!$B$15*assumptions!$B$42)/12</f>
        <v>16666.666666666668</v>
      </c>
      <c r="F12" s="13">
        <f>(assumptions!$B$15*assumptions!$B$42)/12</f>
        <v>16666.666666666668</v>
      </c>
      <c r="G12" s="13">
        <f>(assumptions!$B$15*assumptions!$B$42)/12</f>
        <v>16666.666666666668</v>
      </c>
      <c r="H12" s="13">
        <f>(assumptions!$B$15*assumptions!$B$42)/12</f>
        <v>16666.666666666668</v>
      </c>
      <c r="I12" s="13">
        <f>(assumptions!$B$15*assumptions!$B$42)/12</f>
        <v>16666.666666666668</v>
      </c>
      <c r="J12" s="13">
        <f>(assumptions!$B$15*assumptions!$B$42)/12</f>
        <v>16666.666666666668</v>
      </c>
      <c r="K12" s="13">
        <f>(assumptions!$B$15*assumptions!$B$42)/12</f>
        <v>16666.666666666668</v>
      </c>
      <c r="L12" s="13">
        <f>(assumptions!$B$15*assumptions!$B$42)/12</f>
        <v>16666.666666666668</v>
      </c>
      <c r="M12" s="13">
        <f>(assumptions!$B$15*assumptions!$B$42)/12</f>
        <v>16666.666666666668</v>
      </c>
      <c r="N12" s="13">
        <f>SUM(B12:M12)</f>
        <v>199999.99999999997</v>
      </c>
    </row>
    <row r="13" spans="1:14" ht="29" x14ac:dyDescent="0.35">
      <c r="A13" s="7" t="s">
        <v>42</v>
      </c>
      <c r="B13" s="13">
        <f>SUM(B8:B12)</f>
        <v>655166.66666666663</v>
      </c>
      <c r="C13" s="13">
        <f t="shared" ref="C13:N13" si="1">SUM(C8:C12)</f>
        <v>655166.66666666663</v>
      </c>
      <c r="D13" s="13">
        <f t="shared" si="1"/>
        <v>673166.66666666663</v>
      </c>
      <c r="E13" s="13">
        <f t="shared" si="1"/>
        <v>673166.66666666663</v>
      </c>
      <c r="F13" s="13">
        <f t="shared" si="1"/>
        <v>673166.66666666663</v>
      </c>
      <c r="G13" s="13">
        <f t="shared" si="1"/>
        <v>673166.66666666663</v>
      </c>
      <c r="H13" s="13">
        <f t="shared" si="1"/>
        <v>673166.66666666663</v>
      </c>
      <c r="I13" s="13">
        <f t="shared" si="1"/>
        <v>673166.66666666663</v>
      </c>
      <c r="J13" s="13">
        <f t="shared" si="1"/>
        <v>691166.66666666663</v>
      </c>
      <c r="K13" s="13">
        <f t="shared" si="1"/>
        <v>691166.66666666663</v>
      </c>
      <c r="L13" s="13">
        <f t="shared" si="1"/>
        <v>691166.66666666663</v>
      </c>
      <c r="M13" s="13">
        <f t="shared" si="1"/>
        <v>727166.66666666663</v>
      </c>
      <c r="N13" s="13">
        <f t="shared" si="1"/>
        <v>8150000</v>
      </c>
    </row>
    <row r="16" spans="1:14" x14ac:dyDescent="0.35">
      <c r="A16" s="3" t="s">
        <v>13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35</v>
      </c>
    </row>
    <row r="17" spans="1:14" ht="29" x14ac:dyDescent="0.35">
      <c r="A17" s="6" t="s">
        <v>37</v>
      </c>
      <c r="B17" s="13">
        <f>(assumptions!$B$27*assumptions!$B$17)/12</f>
        <v>158333.33333333334</v>
      </c>
      <c r="C17" s="13">
        <f>(assumptions!$B$27*assumptions!$B$17)/12</f>
        <v>158333.33333333334</v>
      </c>
      <c r="D17" s="13">
        <f>(assumptions!$B$27*assumptions!$B$17)/12</f>
        <v>158333.33333333334</v>
      </c>
      <c r="E17" s="13">
        <f>(assumptions!$B$27*assumptions!$B$17)/12</f>
        <v>158333.33333333334</v>
      </c>
      <c r="F17" s="13">
        <f>(assumptions!$B$27*assumptions!$B$17)/12</f>
        <v>158333.33333333334</v>
      </c>
      <c r="G17" s="13">
        <f>(assumptions!$B$27*assumptions!$B$17)/12</f>
        <v>158333.33333333334</v>
      </c>
      <c r="H17" s="13">
        <f>(assumptions!$B$27*assumptions!$B$17)/12</f>
        <v>158333.33333333334</v>
      </c>
      <c r="I17" s="13">
        <f>(assumptions!$B$27*assumptions!$B$17)/12</f>
        <v>158333.33333333334</v>
      </c>
      <c r="J17" s="13">
        <f>(assumptions!$B$27*assumptions!$B$17)/12</f>
        <v>158333.33333333334</v>
      </c>
      <c r="K17" s="13">
        <f>(assumptions!$B$27*assumptions!$B$17)/12</f>
        <v>158333.33333333334</v>
      </c>
      <c r="L17" s="13">
        <f>(assumptions!$B$27*assumptions!$B$17)/12</f>
        <v>158333.33333333334</v>
      </c>
      <c r="M17" s="13">
        <f>(assumptions!$B$27*assumptions!$B$17)/12</f>
        <v>158333.33333333334</v>
      </c>
      <c r="N17" s="15">
        <f>SUM(B17:M17)</f>
        <v>1899999.9999999998</v>
      </c>
    </row>
    <row r="18" spans="1:14" ht="29" x14ac:dyDescent="0.35">
      <c r="A18" s="6" t="s">
        <v>38</v>
      </c>
      <c r="B18" s="13">
        <f>B17*assumptions!$B$33</f>
        <v>31666.666666666672</v>
      </c>
      <c r="C18" s="13">
        <f>C17*assumptions!$B$33</f>
        <v>31666.666666666672</v>
      </c>
      <c r="D18" s="13">
        <f>D17*assumptions!$B$33</f>
        <v>31666.666666666672</v>
      </c>
      <c r="E18" s="13">
        <f>E17*assumptions!$B$33</f>
        <v>31666.666666666672</v>
      </c>
      <c r="F18" s="13">
        <f>F17*assumptions!$B$33</f>
        <v>31666.666666666672</v>
      </c>
      <c r="G18" s="13">
        <f>G17*assumptions!$B$33</f>
        <v>31666.666666666672</v>
      </c>
      <c r="H18" s="13">
        <f>H17*assumptions!$B$33</f>
        <v>31666.666666666672</v>
      </c>
      <c r="I18" s="13">
        <f>I17*assumptions!$B$33</f>
        <v>31666.666666666672</v>
      </c>
      <c r="J18" s="13">
        <f>J17*assumptions!$B$33</f>
        <v>31666.666666666672</v>
      </c>
      <c r="K18" s="13">
        <f>K17*assumptions!$B$33</f>
        <v>31666.666666666672</v>
      </c>
      <c r="L18" s="13">
        <f>L17*assumptions!$B$33</f>
        <v>31666.666666666672</v>
      </c>
      <c r="M18" s="13">
        <f>M17*assumptions!$B$33</f>
        <v>31666.666666666672</v>
      </c>
      <c r="N18" s="15">
        <f>SUM(B18:M18)</f>
        <v>380000.00000000017</v>
      </c>
    </row>
    <row r="19" spans="1:14" ht="29" x14ac:dyDescent="0.35">
      <c r="A19" s="6" t="s">
        <v>49</v>
      </c>
      <c r="B19" s="13">
        <f>B4*assumptions!$B$45</f>
        <v>168000.00000000003</v>
      </c>
      <c r="C19" s="13">
        <f>C4*assumptions!$B$45</f>
        <v>168000.00000000003</v>
      </c>
      <c r="D19" s="13">
        <f>D4*assumptions!$B$45</f>
        <v>192000</v>
      </c>
      <c r="E19" s="13">
        <f>E4*assumptions!$B$45</f>
        <v>192000</v>
      </c>
      <c r="F19" s="13">
        <f>F4*assumptions!$B$45</f>
        <v>192000</v>
      </c>
      <c r="G19" s="13">
        <f>G4*assumptions!$B$45</f>
        <v>192000</v>
      </c>
      <c r="H19" s="13">
        <f>H4*assumptions!$B$45</f>
        <v>192000</v>
      </c>
      <c r="I19" s="13">
        <f>I4*assumptions!$B$45</f>
        <v>192000</v>
      </c>
      <c r="J19" s="13">
        <f>J4*assumptions!$B$45</f>
        <v>216000</v>
      </c>
      <c r="K19" s="13">
        <f>K4*assumptions!$B$45</f>
        <v>216000</v>
      </c>
      <c r="L19" s="13">
        <f>L4*assumptions!$B$45</f>
        <v>216000</v>
      </c>
      <c r="M19" s="13">
        <f>M4*assumptions!$B$45</f>
        <v>264000</v>
      </c>
      <c r="N19" s="15">
        <f>SUM(B19:M19)</f>
        <v>2400000</v>
      </c>
    </row>
    <row r="20" spans="1:14" ht="29" x14ac:dyDescent="0.35">
      <c r="A20" s="6" t="s">
        <v>40</v>
      </c>
      <c r="B20" s="13">
        <f>(assumptions!$B$17*assumptions!$B$41)/12</f>
        <v>5000</v>
      </c>
      <c r="C20" s="13">
        <f>(assumptions!$B$17*assumptions!$B$41)/12</f>
        <v>5000</v>
      </c>
      <c r="D20" s="13">
        <f>(assumptions!$B$17*assumptions!$B$41)/12</f>
        <v>5000</v>
      </c>
      <c r="E20" s="13">
        <f>(assumptions!$B$17*assumptions!$B$41)/12</f>
        <v>5000</v>
      </c>
      <c r="F20" s="13">
        <f>(assumptions!$B$17*assumptions!$B$41)/12</f>
        <v>5000</v>
      </c>
      <c r="G20" s="13">
        <f>(assumptions!$B$17*assumptions!$B$41)/12</f>
        <v>5000</v>
      </c>
      <c r="H20" s="13">
        <f>(assumptions!$B$17*assumptions!$B$41)/12</f>
        <v>5000</v>
      </c>
      <c r="I20" s="13">
        <f>(assumptions!$B$17*assumptions!$B$41)/12</f>
        <v>5000</v>
      </c>
      <c r="J20" s="13">
        <f>(assumptions!$B$17*assumptions!$B$41)/12</f>
        <v>5000</v>
      </c>
      <c r="K20" s="13">
        <f>(assumptions!$B$17*assumptions!$B$41)/12</f>
        <v>5000</v>
      </c>
      <c r="L20" s="13">
        <f>(assumptions!$B$17*assumptions!$B$41)/12</f>
        <v>5000</v>
      </c>
      <c r="M20" s="13">
        <f>(assumptions!$B$17*assumptions!$B$41)/12</f>
        <v>5000</v>
      </c>
      <c r="N20" s="15">
        <f>SUM(B20:M20)</f>
        <v>60000</v>
      </c>
    </row>
    <row r="21" spans="1:14" ht="29" x14ac:dyDescent="0.35">
      <c r="A21" s="6" t="s">
        <v>41</v>
      </c>
      <c r="B21" s="13">
        <f>(assumptions!$B$44*assumptions!$B$17)/12</f>
        <v>4166.666666666667</v>
      </c>
      <c r="C21" s="13">
        <f>(assumptions!$B$44*assumptions!$B$17)/12</f>
        <v>4166.666666666667</v>
      </c>
      <c r="D21" s="13">
        <f>(assumptions!$B$44*assumptions!$B$17)/12</f>
        <v>4166.666666666667</v>
      </c>
      <c r="E21" s="13">
        <f>(assumptions!$B$44*assumptions!$B$17)/12</f>
        <v>4166.666666666667</v>
      </c>
      <c r="F21" s="13">
        <f>(assumptions!$B$44*assumptions!$B$17)/12</f>
        <v>4166.666666666667</v>
      </c>
      <c r="G21" s="13">
        <f>(assumptions!$B$44*assumptions!$B$17)/12</f>
        <v>4166.666666666667</v>
      </c>
      <c r="H21" s="13">
        <f>(assumptions!$B$44*assumptions!$B$17)/12</f>
        <v>4166.666666666667</v>
      </c>
      <c r="I21" s="13">
        <f>(assumptions!$B$44*assumptions!$B$17)/12</f>
        <v>4166.666666666667</v>
      </c>
      <c r="J21" s="13">
        <f>(assumptions!$B$44*assumptions!$B$17)/12</f>
        <v>4166.666666666667</v>
      </c>
      <c r="K21" s="13">
        <f>(assumptions!$B$44*assumptions!$B$17)/12</f>
        <v>4166.666666666667</v>
      </c>
      <c r="L21" s="13">
        <f>(assumptions!$B$44*assumptions!$B$17)/12</f>
        <v>4166.666666666667</v>
      </c>
      <c r="M21" s="13">
        <f>(assumptions!$B$44*assumptions!$B$17)/12</f>
        <v>4166.666666666667</v>
      </c>
      <c r="N21" s="15">
        <f>SUM(B21:M21)</f>
        <v>49999.999999999993</v>
      </c>
    </row>
    <row r="22" spans="1:14" ht="43.5" x14ac:dyDescent="0.35">
      <c r="A22" s="7" t="s">
        <v>50</v>
      </c>
      <c r="B22" s="13">
        <f>SUM(B$17:B$21)</f>
        <v>367166.66666666669</v>
      </c>
      <c r="C22" s="13">
        <f>SUM(C$17:C$21)</f>
        <v>367166.66666666669</v>
      </c>
      <c r="D22" s="13">
        <f t="shared" ref="D22:N22" si="2">SUM(D$17:D$21)</f>
        <v>391166.66666666669</v>
      </c>
      <c r="E22" s="13">
        <f t="shared" si="2"/>
        <v>391166.66666666669</v>
      </c>
      <c r="F22" s="13">
        <f t="shared" si="2"/>
        <v>391166.66666666669</v>
      </c>
      <c r="G22" s="13">
        <f t="shared" si="2"/>
        <v>391166.66666666669</v>
      </c>
      <c r="H22" s="13">
        <f t="shared" si="2"/>
        <v>391166.66666666669</v>
      </c>
      <c r="I22" s="13">
        <f t="shared" si="2"/>
        <v>391166.66666666669</v>
      </c>
      <c r="J22" s="13">
        <f t="shared" si="2"/>
        <v>415166.66666666669</v>
      </c>
      <c r="K22" s="13">
        <f t="shared" si="2"/>
        <v>415166.66666666669</v>
      </c>
      <c r="L22" s="13">
        <f t="shared" si="2"/>
        <v>415166.66666666669</v>
      </c>
      <c r="M22" s="13">
        <f t="shared" si="2"/>
        <v>463166.66666666669</v>
      </c>
      <c r="N22" s="13">
        <f t="shared" si="2"/>
        <v>4790000</v>
      </c>
    </row>
    <row r="25" spans="1:14" x14ac:dyDescent="0.35">
      <c r="A25" s="3" t="s">
        <v>10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35</v>
      </c>
    </row>
    <row r="26" spans="1:14" ht="29" x14ac:dyDescent="0.35">
      <c r="A26" s="6" t="s">
        <v>37</v>
      </c>
      <c r="B26" s="9">
        <f>(assumptions!$B$24*assumptions!$B$14)/12</f>
        <v>787500</v>
      </c>
      <c r="C26" s="9">
        <f>(assumptions!$B$24*assumptions!$B$14)/12</f>
        <v>787500</v>
      </c>
      <c r="D26" s="9">
        <f>(assumptions!$B$24*assumptions!$B$14)/12</f>
        <v>787500</v>
      </c>
      <c r="E26" s="9">
        <f>(assumptions!$B$24*assumptions!$B$14)/12</f>
        <v>787500</v>
      </c>
      <c r="F26" s="9">
        <f>(assumptions!$B$24*assumptions!$B$14)/12</f>
        <v>787500</v>
      </c>
      <c r="G26" s="9">
        <f>(assumptions!$B$24*assumptions!$B$14)/12</f>
        <v>787500</v>
      </c>
      <c r="H26" s="9">
        <f>(assumptions!$B$24*assumptions!$B$14)/12</f>
        <v>787500</v>
      </c>
      <c r="I26" s="9">
        <f>(assumptions!$B$24*assumptions!$B$14)/12</f>
        <v>787500</v>
      </c>
      <c r="J26" s="9">
        <f>(assumptions!$B$24*assumptions!$B$14)/12</f>
        <v>787500</v>
      </c>
      <c r="K26" s="9">
        <f>(assumptions!$B$24*assumptions!$B$14)/12</f>
        <v>787500</v>
      </c>
      <c r="L26" s="9">
        <f>(assumptions!$B$24*assumptions!$B$14)/12</f>
        <v>787500</v>
      </c>
      <c r="M26" s="9">
        <f>(assumptions!$B$24*assumptions!$B$14)/12</f>
        <v>787500</v>
      </c>
      <c r="N26" s="8">
        <f>SUM(B26:M26)</f>
        <v>9450000</v>
      </c>
    </row>
    <row r="27" spans="1:14" ht="29" x14ac:dyDescent="0.35">
      <c r="A27" s="6" t="s">
        <v>38</v>
      </c>
      <c r="B27" s="9">
        <f>assumptions!$B$33*B26</f>
        <v>157500</v>
      </c>
      <c r="C27" s="9">
        <f>assumptions!$B$33*C26</f>
        <v>157500</v>
      </c>
      <c r="D27" s="9">
        <f>assumptions!$B$33*D26</f>
        <v>157500</v>
      </c>
      <c r="E27" s="9">
        <f>assumptions!$B$33*E26</f>
        <v>157500</v>
      </c>
      <c r="F27" s="9">
        <f>assumptions!$B$33*F26</f>
        <v>157500</v>
      </c>
      <c r="G27" s="9">
        <f>assumptions!$B$33*G26</f>
        <v>157500</v>
      </c>
      <c r="H27" s="9">
        <f>assumptions!$B$33*H26</f>
        <v>157500</v>
      </c>
      <c r="I27" s="9">
        <f>assumptions!$B$33*I26</f>
        <v>157500</v>
      </c>
      <c r="J27" s="9">
        <f>assumptions!$B$33*J26</f>
        <v>157500</v>
      </c>
      <c r="K27" s="9">
        <f>assumptions!$B$33*K26</f>
        <v>157500</v>
      </c>
      <c r="L27" s="9">
        <f>assumptions!$B$33*L26</f>
        <v>157500</v>
      </c>
      <c r="M27" s="9">
        <f>assumptions!$B$33*M26</f>
        <v>157500</v>
      </c>
      <c r="N27" s="8">
        <f t="shared" ref="N27:N29" si="3">SUM(B27:M27)</f>
        <v>1890000</v>
      </c>
    </row>
    <row r="28" spans="1:14" ht="29" x14ac:dyDescent="0.35">
      <c r="A28" s="6" t="s">
        <v>52</v>
      </c>
      <c r="B28" s="13">
        <f>assumptions!$B$46*B4</f>
        <v>112000.00000000001</v>
      </c>
      <c r="C28" s="13">
        <f>assumptions!$B$46*C4</f>
        <v>112000.00000000001</v>
      </c>
      <c r="D28" s="13">
        <f>assumptions!$B$46*D4</f>
        <v>128000</v>
      </c>
      <c r="E28" s="13">
        <f>assumptions!$B$46*E4</f>
        <v>128000</v>
      </c>
      <c r="F28" s="13">
        <f>assumptions!$B$46*F4</f>
        <v>128000</v>
      </c>
      <c r="G28" s="13">
        <f>assumptions!$B$46*G4</f>
        <v>128000</v>
      </c>
      <c r="H28" s="13">
        <f>assumptions!$B$46*H4</f>
        <v>128000</v>
      </c>
      <c r="I28" s="13">
        <f>assumptions!$B$46*I4</f>
        <v>128000</v>
      </c>
      <c r="J28" s="13">
        <f>assumptions!$B$46*J4</f>
        <v>144000</v>
      </c>
      <c r="K28" s="13">
        <f>assumptions!$B$46*K4</f>
        <v>144000</v>
      </c>
      <c r="L28" s="13">
        <f>assumptions!$B$46*L4</f>
        <v>144000</v>
      </c>
      <c r="M28" s="13">
        <f>assumptions!$B$46*M4</f>
        <v>176000</v>
      </c>
      <c r="N28" s="8">
        <f t="shared" si="3"/>
        <v>1600000</v>
      </c>
    </row>
    <row r="29" spans="1:14" ht="29" x14ac:dyDescent="0.35">
      <c r="A29" s="6" t="s">
        <v>40</v>
      </c>
      <c r="B29" s="13">
        <f>(assumptions!$B$14*assumptions!$B$41)/12</f>
        <v>17500</v>
      </c>
      <c r="C29" s="13">
        <f>(assumptions!$B$14*assumptions!$B$41)/12</f>
        <v>17500</v>
      </c>
      <c r="D29" s="13">
        <f>(assumptions!$B$14*assumptions!$B$41)/12</f>
        <v>17500</v>
      </c>
      <c r="E29" s="13">
        <f>(assumptions!$B$14*assumptions!$B$41)/12</f>
        <v>17500</v>
      </c>
      <c r="F29" s="13">
        <f>(assumptions!$B$14*assumptions!$B$41)/12</f>
        <v>17500</v>
      </c>
      <c r="G29" s="13">
        <f>(assumptions!$B$14*assumptions!$B$41)/12</f>
        <v>17500</v>
      </c>
      <c r="H29" s="13">
        <f>(assumptions!$B$14*assumptions!$B$41)/12</f>
        <v>17500</v>
      </c>
      <c r="I29" s="13">
        <f>(assumptions!$B$14*assumptions!$B$41)/12</f>
        <v>17500</v>
      </c>
      <c r="J29" s="13">
        <f>(assumptions!$B$14*assumptions!$B$41)/12</f>
        <v>17500</v>
      </c>
      <c r="K29" s="13">
        <f>(assumptions!$B$14*assumptions!$B$41)/12</f>
        <v>17500</v>
      </c>
      <c r="L29" s="13">
        <f>(assumptions!$B$14*assumptions!$B$41)/12</f>
        <v>17500</v>
      </c>
      <c r="M29" s="13">
        <f>(assumptions!$B$14*assumptions!$B$41)/12</f>
        <v>17500</v>
      </c>
      <c r="N29" s="8">
        <f t="shared" si="3"/>
        <v>210000</v>
      </c>
    </row>
    <row r="30" spans="1:14" ht="43.5" x14ac:dyDescent="0.35">
      <c r="A30" s="7" t="s">
        <v>53</v>
      </c>
      <c r="B30" s="9">
        <f>SUM(B26:B29)</f>
        <v>1074500</v>
      </c>
      <c r="C30" s="9">
        <f t="shared" ref="C30:M30" si="4">SUM(C26:C29)</f>
        <v>1074500</v>
      </c>
      <c r="D30" s="9">
        <f t="shared" si="4"/>
        <v>1090500</v>
      </c>
      <c r="E30" s="9">
        <f t="shared" si="4"/>
        <v>1090500</v>
      </c>
      <c r="F30" s="9">
        <f t="shared" si="4"/>
        <v>1090500</v>
      </c>
      <c r="G30" s="9">
        <f t="shared" si="4"/>
        <v>1090500</v>
      </c>
      <c r="H30" s="9">
        <f t="shared" si="4"/>
        <v>1090500</v>
      </c>
      <c r="I30" s="9">
        <f t="shared" si="4"/>
        <v>1090500</v>
      </c>
      <c r="J30" s="9">
        <f t="shared" si="4"/>
        <v>1106500</v>
      </c>
      <c r="K30" s="9">
        <f t="shared" si="4"/>
        <v>1106500</v>
      </c>
      <c r="L30" s="9">
        <f t="shared" si="4"/>
        <v>1106500</v>
      </c>
      <c r="M30" s="9">
        <f t="shared" ref="M30" si="5">SUM(M26:M29)</f>
        <v>1138500</v>
      </c>
      <c r="N30" s="9">
        <f t="shared" ref="N30" si="6">SUM(N26:N29)</f>
        <v>13150000</v>
      </c>
    </row>
    <row r="33" spans="1:14" x14ac:dyDescent="0.35">
      <c r="A33" s="3" t="s">
        <v>14</v>
      </c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29</v>
      </c>
      <c r="I33" s="5" t="s">
        <v>30</v>
      </c>
      <c r="J33" s="5" t="s">
        <v>31</v>
      </c>
      <c r="K33" s="5" t="s">
        <v>32</v>
      </c>
      <c r="L33" s="5" t="s">
        <v>33</v>
      </c>
      <c r="M33" s="5" t="s">
        <v>34</v>
      </c>
      <c r="N33" s="5" t="s">
        <v>35</v>
      </c>
    </row>
    <row r="34" spans="1:14" ht="29" x14ac:dyDescent="0.35">
      <c r="A34" s="6" t="s">
        <v>37</v>
      </c>
      <c r="B34" s="9">
        <f>(assumptions!$B$18*assumptions!$B$28)/12</f>
        <v>156250</v>
      </c>
      <c r="C34" s="9">
        <f>(assumptions!$B$18*assumptions!$B$28)/12</f>
        <v>156250</v>
      </c>
      <c r="D34" s="9">
        <f>(assumptions!$B$18*assumptions!$B$28)/12</f>
        <v>156250</v>
      </c>
      <c r="E34" s="9">
        <f>(assumptions!$B$18*assumptions!$B$28)/12</f>
        <v>156250</v>
      </c>
      <c r="F34" s="9">
        <f>(assumptions!$B$18*assumptions!$B$28)/12</f>
        <v>156250</v>
      </c>
      <c r="G34" s="9">
        <f>(assumptions!$B$18*assumptions!$B$28)/12</f>
        <v>156250</v>
      </c>
      <c r="H34" s="9">
        <f>(assumptions!$B$18*assumptions!$B$28)/12</f>
        <v>156250</v>
      </c>
      <c r="I34" s="9">
        <f>(assumptions!$B$18*assumptions!$B$28)/12</f>
        <v>156250</v>
      </c>
      <c r="J34" s="9">
        <f>(assumptions!$B$18*assumptions!$B$28)/12</f>
        <v>156250</v>
      </c>
      <c r="K34" s="9">
        <f>(assumptions!$B$18*assumptions!$B$28)/12</f>
        <v>156250</v>
      </c>
      <c r="L34" s="9">
        <f>(assumptions!$B$18*assumptions!$B$28)/12</f>
        <v>156250</v>
      </c>
      <c r="M34" s="9">
        <f>(assumptions!$B$18*assumptions!$B$28)/12</f>
        <v>156250</v>
      </c>
      <c r="N34" s="8">
        <f>SUM(B34:M34)</f>
        <v>1875000</v>
      </c>
    </row>
    <row r="35" spans="1:14" ht="29" x14ac:dyDescent="0.35">
      <c r="A35" s="6" t="s">
        <v>38</v>
      </c>
      <c r="B35" s="9">
        <f>B34*assumptions!$B$33</f>
        <v>31250</v>
      </c>
      <c r="C35" s="9">
        <f>C34*assumptions!$B$33</f>
        <v>31250</v>
      </c>
      <c r="D35" s="9">
        <f>D34*assumptions!$B$33</f>
        <v>31250</v>
      </c>
      <c r="E35" s="9">
        <f>E34*assumptions!$B$33</f>
        <v>31250</v>
      </c>
      <c r="F35" s="9">
        <f>F34*assumptions!$B$33</f>
        <v>31250</v>
      </c>
      <c r="G35" s="9">
        <f>G34*assumptions!$B$33</f>
        <v>31250</v>
      </c>
      <c r="H35" s="9">
        <f>H34*assumptions!$B$33</f>
        <v>31250</v>
      </c>
      <c r="I35" s="9">
        <f>I34*assumptions!$B$33</f>
        <v>31250</v>
      </c>
      <c r="J35" s="9">
        <f>J34*assumptions!$B$33</f>
        <v>31250</v>
      </c>
      <c r="K35" s="9">
        <f>K34*assumptions!$B$33</f>
        <v>31250</v>
      </c>
      <c r="L35" s="9">
        <f>L34*assumptions!$B$33</f>
        <v>31250</v>
      </c>
      <c r="M35" s="9">
        <f>M34*assumptions!$B$33</f>
        <v>31250</v>
      </c>
      <c r="N35" s="8">
        <f t="shared" ref="N35:N37" si="7">SUM(B35:M35)</f>
        <v>375000</v>
      </c>
    </row>
    <row r="36" spans="1:14" ht="29" x14ac:dyDescent="0.35">
      <c r="A36" s="6" t="s">
        <v>40</v>
      </c>
      <c r="B36" s="9">
        <f>(assumptions!$B$18*assumptions!$B$41)/12</f>
        <v>3750</v>
      </c>
      <c r="C36" s="9">
        <f>(assumptions!$B$18*assumptions!$B$41)/12</f>
        <v>3750</v>
      </c>
      <c r="D36" s="9">
        <f>(assumptions!$B$18*assumptions!$B$41)/12</f>
        <v>3750</v>
      </c>
      <c r="E36" s="9">
        <f>(assumptions!$B$18*assumptions!$B$41)/12</f>
        <v>3750</v>
      </c>
      <c r="F36" s="9">
        <f>(assumptions!$B$18*assumptions!$B$41)/12</f>
        <v>3750</v>
      </c>
      <c r="G36" s="9">
        <f>(assumptions!$B$18*assumptions!$B$41)/12</f>
        <v>3750</v>
      </c>
      <c r="H36" s="9">
        <f>(assumptions!$B$18*assumptions!$B$41)/12</f>
        <v>3750</v>
      </c>
      <c r="I36" s="9">
        <f>(assumptions!$B$18*assumptions!$B$41)/12</f>
        <v>3750</v>
      </c>
      <c r="J36" s="9">
        <f>(assumptions!$B$18*assumptions!$B$41)/12</f>
        <v>3750</v>
      </c>
      <c r="K36" s="9">
        <f>(assumptions!$B$18*assumptions!$B$41)/12</f>
        <v>3750</v>
      </c>
      <c r="L36" s="9">
        <f>(assumptions!$B$18*assumptions!$B$41)/12</f>
        <v>3750</v>
      </c>
      <c r="M36" s="9">
        <f>(assumptions!$B$18*assumptions!$B$41)/12</f>
        <v>3750</v>
      </c>
      <c r="N36" s="8">
        <f t="shared" si="7"/>
        <v>45000</v>
      </c>
    </row>
    <row r="37" spans="1:14" ht="29" x14ac:dyDescent="0.35">
      <c r="A37" s="6" t="s">
        <v>36</v>
      </c>
      <c r="B37" s="13">
        <f>assumptions!$B$47/12</f>
        <v>20833.333333333332</v>
      </c>
      <c r="C37" s="13">
        <f>assumptions!$B$47/12</f>
        <v>20833.333333333332</v>
      </c>
      <c r="D37" s="13">
        <f>assumptions!$B$47/12</f>
        <v>20833.333333333332</v>
      </c>
      <c r="E37" s="13">
        <f>assumptions!$B$47/12</f>
        <v>20833.333333333332</v>
      </c>
      <c r="F37" s="13">
        <f>assumptions!$B$47/12</f>
        <v>20833.333333333332</v>
      </c>
      <c r="G37" s="13">
        <f>assumptions!$B$47/12</f>
        <v>20833.333333333332</v>
      </c>
      <c r="H37" s="13">
        <f>assumptions!$B$47/12</f>
        <v>20833.333333333332</v>
      </c>
      <c r="I37" s="13">
        <f>assumptions!$B$47/12</f>
        <v>20833.333333333332</v>
      </c>
      <c r="J37" s="13">
        <f>assumptions!$B$47/12</f>
        <v>20833.333333333332</v>
      </c>
      <c r="K37" s="13">
        <f>assumptions!$B$47/12</f>
        <v>20833.333333333332</v>
      </c>
      <c r="L37" s="13">
        <f>assumptions!$B$47/12</f>
        <v>20833.333333333332</v>
      </c>
      <c r="M37" s="13">
        <f>assumptions!$B$47/12</f>
        <v>20833.333333333332</v>
      </c>
      <c r="N37" s="8">
        <f t="shared" si="7"/>
        <v>250000.00000000003</v>
      </c>
    </row>
    <row r="38" spans="1:14" ht="29" x14ac:dyDescent="0.35">
      <c r="A38" s="7" t="s">
        <v>54</v>
      </c>
      <c r="B38" s="9">
        <f>SUM(B34:B37)</f>
        <v>212083.33333333334</v>
      </c>
      <c r="C38" s="9">
        <f t="shared" ref="C38:N38" si="8">SUM(C34:C37)</f>
        <v>212083.33333333334</v>
      </c>
      <c r="D38" s="9">
        <f t="shared" si="8"/>
        <v>212083.33333333334</v>
      </c>
      <c r="E38" s="9">
        <f t="shared" si="8"/>
        <v>212083.33333333334</v>
      </c>
      <c r="F38" s="9">
        <f t="shared" si="8"/>
        <v>212083.33333333334</v>
      </c>
      <c r="G38" s="9">
        <f t="shared" si="8"/>
        <v>212083.33333333334</v>
      </c>
      <c r="H38" s="9">
        <f t="shared" si="8"/>
        <v>212083.33333333334</v>
      </c>
      <c r="I38" s="9">
        <f t="shared" si="8"/>
        <v>212083.33333333334</v>
      </c>
      <c r="J38" s="9">
        <f t="shared" si="8"/>
        <v>212083.33333333334</v>
      </c>
      <c r="K38" s="9">
        <f t="shared" si="8"/>
        <v>212083.33333333334</v>
      </c>
      <c r="L38" s="9">
        <f t="shared" si="8"/>
        <v>212083.33333333334</v>
      </c>
      <c r="M38" s="9">
        <f t="shared" si="8"/>
        <v>212083.33333333334</v>
      </c>
      <c r="N38" s="9">
        <f t="shared" si="8"/>
        <v>2545000</v>
      </c>
    </row>
    <row r="41" spans="1:14" ht="29" x14ac:dyDescent="0.35">
      <c r="A41" s="3" t="s">
        <v>12</v>
      </c>
      <c r="B41" s="5" t="s">
        <v>23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29</v>
      </c>
      <c r="I41" s="5" t="s">
        <v>30</v>
      </c>
      <c r="J41" s="5" t="s">
        <v>31</v>
      </c>
      <c r="K41" s="5" t="s">
        <v>32</v>
      </c>
      <c r="L41" s="5" t="s">
        <v>33</v>
      </c>
      <c r="M41" s="5" t="s">
        <v>34</v>
      </c>
      <c r="N41" s="5" t="s">
        <v>35</v>
      </c>
    </row>
    <row r="42" spans="1:14" ht="29" x14ac:dyDescent="0.35">
      <c r="A42" s="6" t="s">
        <v>37</v>
      </c>
      <c r="B42" s="9">
        <f>(assumptions!$B$26*assumptions!$B$16)/12</f>
        <v>212500</v>
      </c>
      <c r="C42" s="9">
        <f>(assumptions!$B$26*assumptions!$B$16)/12</f>
        <v>212500</v>
      </c>
      <c r="D42" s="9">
        <f>(assumptions!$B$26*assumptions!$B$16)/12</f>
        <v>212500</v>
      </c>
      <c r="E42" s="9">
        <f>(assumptions!$B$26*assumptions!$B$16)/12</f>
        <v>212500</v>
      </c>
      <c r="F42" s="9">
        <f>(assumptions!$B$26*assumptions!$B$16)/12</f>
        <v>212500</v>
      </c>
      <c r="G42" s="9">
        <f>(assumptions!$B$26*assumptions!$B$16)/12</f>
        <v>212500</v>
      </c>
      <c r="H42" s="9">
        <f>(assumptions!$B$26*assumptions!$B$16)/12</f>
        <v>212500</v>
      </c>
      <c r="I42" s="9">
        <f>(assumptions!$B$26*assumptions!$B$16)/12</f>
        <v>212500</v>
      </c>
      <c r="J42" s="9">
        <f>(assumptions!$B$26*assumptions!$B$16)/12</f>
        <v>212500</v>
      </c>
      <c r="K42" s="9">
        <f>(assumptions!$B$26*assumptions!$B$16)/12</f>
        <v>212500</v>
      </c>
      <c r="L42" s="9">
        <f>(assumptions!$B$26*assumptions!$B$16)/12</f>
        <v>212500</v>
      </c>
      <c r="M42" s="9">
        <f>(assumptions!$B$26*assumptions!$B$16)/12</f>
        <v>212500</v>
      </c>
      <c r="N42" s="8">
        <f>SUM(B42:M42)</f>
        <v>2550000</v>
      </c>
    </row>
    <row r="43" spans="1:14" ht="29" x14ac:dyDescent="0.35">
      <c r="A43" s="6" t="s">
        <v>38</v>
      </c>
      <c r="B43" s="9">
        <f>B42*assumptions!$B$33</f>
        <v>42500</v>
      </c>
      <c r="C43" s="9">
        <f>C42*assumptions!$B$33</f>
        <v>42500</v>
      </c>
      <c r="D43" s="9">
        <f>D42*assumptions!$B$33</f>
        <v>42500</v>
      </c>
      <c r="E43" s="9">
        <f>E42*assumptions!$B$33</f>
        <v>42500</v>
      </c>
      <c r="F43" s="9">
        <f>F42*assumptions!$B$33</f>
        <v>42500</v>
      </c>
      <c r="G43" s="9">
        <f>G42*assumptions!$B$33</f>
        <v>42500</v>
      </c>
      <c r="H43" s="9">
        <f>H42*assumptions!$B$33</f>
        <v>42500</v>
      </c>
      <c r="I43" s="9">
        <f>I42*assumptions!$B$33</f>
        <v>42500</v>
      </c>
      <c r="J43" s="9">
        <f>J42*assumptions!$B$33</f>
        <v>42500</v>
      </c>
      <c r="K43" s="9">
        <f>K42*assumptions!$B$33</f>
        <v>42500</v>
      </c>
      <c r="L43" s="9">
        <f>L42*assumptions!$B$33</f>
        <v>42500</v>
      </c>
      <c r="M43" s="9">
        <f>M42*assumptions!$B$33</f>
        <v>42500</v>
      </c>
      <c r="N43" s="8">
        <f t="shared" ref="N43:N46" si="9">SUM(B43:M43)</f>
        <v>510000</v>
      </c>
    </row>
    <row r="44" spans="1:14" ht="29" x14ac:dyDescent="0.35">
      <c r="A44" s="6" t="s">
        <v>40</v>
      </c>
      <c r="B44" s="13">
        <f>(assumptions!$B$16*assumptions!$B$41)/12</f>
        <v>7500</v>
      </c>
      <c r="C44" s="13">
        <f>(assumptions!$B$16*assumptions!$B$41)/12</f>
        <v>7500</v>
      </c>
      <c r="D44" s="13">
        <f>(assumptions!$B$16*assumptions!$B$41)/12</f>
        <v>7500</v>
      </c>
      <c r="E44" s="13">
        <f>(assumptions!$B$16*assumptions!$B$41)/12</f>
        <v>7500</v>
      </c>
      <c r="F44" s="13">
        <f>(assumptions!$B$16*assumptions!$B$41)/12</f>
        <v>7500</v>
      </c>
      <c r="G44" s="13">
        <f>(assumptions!$B$16*assumptions!$B$41)/12</f>
        <v>7500</v>
      </c>
      <c r="H44" s="13">
        <f>(assumptions!$B$16*assumptions!$B$41)/12</f>
        <v>7500</v>
      </c>
      <c r="I44" s="13">
        <f>(assumptions!$B$16*assumptions!$B$41)/12</f>
        <v>7500</v>
      </c>
      <c r="J44" s="13">
        <f>(assumptions!$B$16*assumptions!$B$41)/12</f>
        <v>7500</v>
      </c>
      <c r="K44" s="13">
        <f>(assumptions!$B$16*assumptions!$B$41)/12</f>
        <v>7500</v>
      </c>
      <c r="L44" s="13">
        <f>(assumptions!$B$16*assumptions!$B$41)/12</f>
        <v>7500</v>
      </c>
      <c r="M44" s="13">
        <f>(assumptions!$B$16*assumptions!$B$41)/12</f>
        <v>7500</v>
      </c>
      <c r="N44" s="8">
        <f t="shared" si="9"/>
        <v>90000</v>
      </c>
    </row>
    <row r="45" spans="1:14" ht="29" x14ac:dyDescent="0.35">
      <c r="A45" s="6" t="s">
        <v>41</v>
      </c>
      <c r="B45" s="9">
        <f>(assumptions!$B$43*assumptions!$B$16)/12</f>
        <v>5000</v>
      </c>
      <c r="C45" s="9">
        <f>(assumptions!$B$43*assumptions!$B$16)/12</f>
        <v>5000</v>
      </c>
      <c r="D45" s="9">
        <f>(assumptions!$B$43*assumptions!$B$16)/12</f>
        <v>5000</v>
      </c>
      <c r="E45" s="9">
        <f>(assumptions!$B$43*assumptions!$B$16)/12</f>
        <v>5000</v>
      </c>
      <c r="F45" s="9">
        <f>(assumptions!$B$43*assumptions!$B$16)/12</f>
        <v>5000</v>
      </c>
      <c r="G45" s="9">
        <f>(assumptions!$B$43*assumptions!$B$16)/12</f>
        <v>5000</v>
      </c>
      <c r="H45" s="9">
        <f>(assumptions!$B$43*assumptions!$B$16)/12</f>
        <v>5000</v>
      </c>
      <c r="I45" s="9">
        <f>(assumptions!$B$43*assumptions!$B$16)/12</f>
        <v>5000</v>
      </c>
      <c r="J45" s="9">
        <f>(assumptions!$B$43*assumptions!$B$16)/12</f>
        <v>5000</v>
      </c>
      <c r="K45" s="9">
        <f>(assumptions!$B$43*assumptions!$B$16)/12</f>
        <v>5000</v>
      </c>
      <c r="L45" s="9">
        <f>(assumptions!$B$43*assumptions!$B$16)/12</f>
        <v>5000</v>
      </c>
      <c r="M45" s="9">
        <f>(assumptions!$B$43*assumptions!$B$16)/12</f>
        <v>5000</v>
      </c>
      <c r="N45" s="8">
        <f t="shared" si="9"/>
        <v>60000</v>
      </c>
    </row>
    <row r="46" spans="1:14" ht="58" x14ac:dyDescent="0.35">
      <c r="A46" s="7" t="s">
        <v>55</v>
      </c>
      <c r="B46" s="9">
        <f>SUM(B42:B45)</f>
        <v>267500</v>
      </c>
      <c r="C46" s="9">
        <f t="shared" ref="C46:M46" si="10">SUM(C42:C45)</f>
        <v>267500</v>
      </c>
      <c r="D46" s="9">
        <f t="shared" si="10"/>
        <v>267500</v>
      </c>
      <c r="E46" s="9">
        <f t="shared" si="10"/>
        <v>267500</v>
      </c>
      <c r="F46" s="9">
        <f t="shared" si="10"/>
        <v>267500</v>
      </c>
      <c r="G46" s="9">
        <f t="shared" si="10"/>
        <v>267500</v>
      </c>
      <c r="H46" s="9">
        <f t="shared" si="10"/>
        <v>267500</v>
      </c>
      <c r="I46" s="9">
        <f t="shared" si="10"/>
        <v>267500</v>
      </c>
      <c r="J46" s="9">
        <f t="shared" si="10"/>
        <v>267500</v>
      </c>
      <c r="K46" s="9">
        <f t="shared" si="10"/>
        <v>267500</v>
      </c>
      <c r="L46" s="9">
        <f t="shared" si="10"/>
        <v>267500</v>
      </c>
      <c r="M46" s="9">
        <f t="shared" si="10"/>
        <v>267500</v>
      </c>
      <c r="N46" s="8">
        <f t="shared" si="9"/>
        <v>3210000</v>
      </c>
    </row>
    <row r="49" spans="1:14" x14ac:dyDescent="0.35">
      <c r="A49" s="3" t="s">
        <v>15</v>
      </c>
      <c r="B49" s="5" t="s">
        <v>23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29</v>
      </c>
      <c r="I49" s="5" t="s">
        <v>30</v>
      </c>
      <c r="J49" s="5" t="s">
        <v>31</v>
      </c>
      <c r="K49" s="5" t="s">
        <v>32</v>
      </c>
      <c r="L49" s="5" t="s">
        <v>33</v>
      </c>
      <c r="M49" s="5" t="s">
        <v>34</v>
      </c>
      <c r="N49" s="5" t="s">
        <v>35</v>
      </c>
    </row>
    <row r="50" spans="1:14" ht="29" x14ac:dyDescent="0.35">
      <c r="A50" s="6" t="s">
        <v>37</v>
      </c>
      <c r="B50" s="9">
        <f>(assumptions!$B$19*assumptions!$B$29)/12</f>
        <v>218750</v>
      </c>
      <c r="C50" s="9">
        <f>(assumptions!$B$19*assumptions!$B$29)/12</f>
        <v>218750</v>
      </c>
      <c r="D50" s="9">
        <f>(assumptions!$B$19*assumptions!$B$29)/12</f>
        <v>218750</v>
      </c>
      <c r="E50" s="9">
        <f>(assumptions!$B$19*assumptions!$B$29)/12</f>
        <v>218750</v>
      </c>
      <c r="F50" s="9">
        <f>(assumptions!$B$19*assumptions!$B$29)/12</f>
        <v>218750</v>
      </c>
      <c r="G50" s="9">
        <f>(assumptions!$B$19*assumptions!$B$29)/12</f>
        <v>218750</v>
      </c>
      <c r="H50" s="9">
        <f>(assumptions!$B$19*assumptions!$B$29)/12</f>
        <v>218750</v>
      </c>
      <c r="I50" s="9">
        <f>(assumptions!$B$19*assumptions!$B$29)/12</f>
        <v>218750</v>
      </c>
      <c r="J50" s="9">
        <f>(assumptions!$B$19*assumptions!$B$29)/12</f>
        <v>218750</v>
      </c>
      <c r="K50" s="9">
        <f>(assumptions!$B$19*assumptions!$B$29)/12</f>
        <v>218750</v>
      </c>
      <c r="L50" s="9">
        <f>(assumptions!$B$19*assumptions!$B$29)/12</f>
        <v>218750</v>
      </c>
      <c r="M50" s="9">
        <f>(assumptions!$B$19*assumptions!$B$29)/12</f>
        <v>218750</v>
      </c>
      <c r="N50" s="9">
        <f>(assumptions!$B$19*assumptions!$B$29)/12</f>
        <v>218750</v>
      </c>
    </row>
    <row r="51" spans="1:14" ht="29" x14ac:dyDescent="0.35">
      <c r="A51" s="6" t="s">
        <v>38</v>
      </c>
      <c r="B51" s="9">
        <f>B50*assumptions!$B$33</f>
        <v>43750</v>
      </c>
      <c r="C51" s="9">
        <f>C50*assumptions!$B$33</f>
        <v>43750</v>
      </c>
      <c r="D51" s="9">
        <f>D50*assumptions!$B$33</f>
        <v>43750</v>
      </c>
      <c r="E51" s="9">
        <f>E50*assumptions!$B$33</f>
        <v>43750</v>
      </c>
      <c r="F51" s="9">
        <f>F50*assumptions!$B$33</f>
        <v>43750</v>
      </c>
      <c r="G51" s="9">
        <f>G50*assumptions!$B$33</f>
        <v>43750</v>
      </c>
      <c r="H51" s="9">
        <f>H50*assumptions!$B$33</f>
        <v>43750</v>
      </c>
      <c r="I51" s="9">
        <f>I50*assumptions!$B$33</f>
        <v>43750</v>
      </c>
      <c r="J51" s="9">
        <f>J50*assumptions!$B$33</f>
        <v>43750</v>
      </c>
      <c r="K51" s="9">
        <f>K50*assumptions!$B$33</f>
        <v>43750</v>
      </c>
      <c r="L51" s="9">
        <f>L50*assumptions!$B$33</f>
        <v>43750</v>
      </c>
      <c r="M51" s="9">
        <f>M50*assumptions!$B$33</f>
        <v>43750</v>
      </c>
      <c r="N51" s="9">
        <f>N50*assumptions!$B$33</f>
        <v>43750</v>
      </c>
    </row>
    <row r="52" spans="1:14" ht="29" x14ac:dyDescent="0.35">
      <c r="A52" s="6" t="s">
        <v>40</v>
      </c>
      <c r="B52" s="9">
        <f>(assumptions!$B$19*assumptions!$B$41)/12</f>
        <v>6250</v>
      </c>
      <c r="C52" s="9">
        <f>(assumptions!$B$19*assumptions!$B$41)/12</f>
        <v>6250</v>
      </c>
      <c r="D52" s="9">
        <f>(assumptions!$B$19*assumptions!$B$41)/12</f>
        <v>6250</v>
      </c>
      <c r="E52" s="9">
        <f>(assumptions!$B$19*assumptions!$B$41)/12</f>
        <v>6250</v>
      </c>
      <c r="F52" s="9">
        <f>(assumptions!$B$19*assumptions!$B$41)/12</f>
        <v>6250</v>
      </c>
      <c r="G52" s="9">
        <f>(assumptions!$B$19*assumptions!$B$41)/12</f>
        <v>6250</v>
      </c>
      <c r="H52" s="9">
        <f>(assumptions!$B$19*assumptions!$B$41)/12</f>
        <v>6250</v>
      </c>
      <c r="I52" s="9">
        <f>(assumptions!$B$19*assumptions!$B$41)/12</f>
        <v>6250</v>
      </c>
      <c r="J52" s="9">
        <f>(assumptions!$B$19*assumptions!$B$41)/12</f>
        <v>6250</v>
      </c>
      <c r="K52" s="9">
        <f>(assumptions!$B$19*assumptions!$B$41)/12</f>
        <v>6250</v>
      </c>
      <c r="L52" s="9">
        <f>(assumptions!$B$19*assumptions!$B$41)/12</f>
        <v>6250</v>
      </c>
      <c r="M52" s="9">
        <f>(assumptions!$B$19*assumptions!$B$41)/12</f>
        <v>6250</v>
      </c>
      <c r="N52" s="9">
        <f>(assumptions!$B$19*assumptions!$B$41)/12</f>
        <v>6250</v>
      </c>
    </row>
    <row r="53" spans="1:14" ht="43.5" x14ac:dyDescent="0.35">
      <c r="A53" s="6" t="s">
        <v>57</v>
      </c>
      <c r="B53" s="13">
        <f>assumptions!$B$48/12</f>
        <v>33333.333333333336</v>
      </c>
      <c r="C53" s="13">
        <f>assumptions!$B$48/12</f>
        <v>33333.333333333336</v>
      </c>
      <c r="D53" s="13">
        <f>assumptions!$B$48/12</f>
        <v>33333.333333333336</v>
      </c>
      <c r="E53" s="13">
        <f>assumptions!$B$48/12</f>
        <v>33333.333333333336</v>
      </c>
      <c r="F53" s="13">
        <f>assumptions!$B$48/12</f>
        <v>33333.333333333336</v>
      </c>
      <c r="G53" s="13">
        <f>assumptions!$B$48/12</f>
        <v>33333.333333333336</v>
      </c>
      <c r="H53" s="13">
        <f>assumptions!$B$48/12</f>
        <v>33333.333333333336</v>
      </c>
      <c r="I53" s="13">
        <f>assumptions!$B$48/12</f>
        <v>33333.333333333336</v>
      </c>
      <c r="J53" s="13">
        <f>assumptions!$B$48/12</f>
        <v>33333.333333333336</v>
      </c>
      <c r="K53" s="13">
        <f>assumptions!$B$48/12</f>
        <v>33333.333333333336</v>
      </c>
      <c r="L53" s="13">
        <f>assumptions!$B$48/12</f>
        <v>33333.333333333336</v>
      </c>
      <c r="M53" s="13">
        <f>assumptions!$B$48/12</f>
        <v>33333.333333333336</v>
      </c>
      <c r="N53" s="13">
        <f>assumptions!$B$48/12</f>
        <v>33333.333333333336</v>
      </c>
    </row>
    <row r="54" spans="1:14" ht="29" x14ac:dyDescent="0.35">
      <c r="A54" s="6" t="s">
        <v>58</v>
      </c>
      <c r="B54" s="9">
        <f>(assumptions!$B$49*assumptions!$B$19)/12</f>
        <v>12500</v>
      </c>
      <c r="C54" s="9">
        <f>(assumptions!$B$49*assumptions!$B$19)/12</f>
        <v>12500</v>
      </c>
      <c r="D54" s="9">
        <f>(assumptions!$B$49*assumptions!$B$19)/12</f>
        <v>12500</v>
      </c>
      <c r="E54" s="9">
        <f>(assumptions!$B$49*assumptions!$B$19)/12</f>
        <v>12500</v>
      </c>
      <c r="F54" s="9">
        <f>(assumptions!$B$49*assumptions!$B$19)/12</f>
        <v>12500</v>
      </c>
      <c r="G54" s="9">
        <f>(assumptions!$B$49*assumptions!$B$19)/12</f>
        <v>12500</v>
      </c>
      <c r="H54" s="9">
        <f>(assumptions!$B$49*assumptions!$B$19)/12</f>
        <v>12500</v>
      </c>
      <c r="I54" s="9">
        <f>(assumptions!$B$49*assumptions!$B$19)/12</f>
        <v>12500</v>
      </c>
      <c r="J54" s="9">
        <f>(assumptions!$B$49*assumptions!$B$19)/12</f>
        <v>12500</v>
      </c>
      <c r="K54" s="9">
        <f>(assumptions!$B$49*assumptions!$B$19)/12</f>
        <v>12500</v>
      </c>
      <c r="L54" s="9">
        <f>(assumptions!$B$49*assumptions!$B$19)/12</f>
        <v>12500</v>
      </c>
      <c r="M54" s="9">
        <f>(assumptions!$B$49*assumptions!$B$19)/12</f>
        <v>12500</v>
      </c>
      <c r="N54" s="9">
        <f>(assumptions!$B$49*assumptions!$B$19)/12</f>
        <v>12500</v>
      </c>
    </row>
    <row r="55" spans="1:14" ht="29" x14ac:dyDescent="0.35">
      <c r="A55" s="7" t="s">
        <v>59</v>
      </c>
      <c r="B55" s="9">
        <f>SUM(B50:B54)</f>
        <v>314583.33333333331</v>
      </c>
      <c r="C55" s="9">
        <f t="shared" ref="C55:N55" si="11">SUM(C50:C54)</f>
        <v>314583.33333333331</v>
      </c>
      <c r="D55" s="9">
        <f t="shared" si="11"/>
        <v>314583.33333333331</v>
      </c>
      <c r="E55" s="9">
        <f t="shared" si="11"/>
        <v>314583.33333333331</v>
      </c>
      <c r="F55" s="9">
        <f t="shared" si="11"/>
        <v>314583.33333333331</v>
      </c>
      <c r="G55" s="9">
        <f t="shared" si="11"/>
        <v>314583.33333333331</v>
      </c>
      <c r="H55" s="9">
        <f t="shared" si="11"/>
        <v>314583.33333333331</v>
      </c>
      <c r="I55" s="9">
        <f t="shared" si="11"/>
        <v>314583.33333333331</v>
      </c>
      <c r="J55" s="9">
        <f t="shared" si="11"/>
        <v>314583.33333333331</v>
      </c>
      <c r="K55" s="9">
        <f t="shared" si="11"/>
        <v>314583.33333333331</v>
      </c>
      <c r="L55" s="9">
        <f t="shared" si="11"/>
        <v>314583.33333333331</v>
      </c>
      <c r="M55" s="9">
        <f t="shared" si="11"/>
        <v>314583.33333333331</v>
      </c>
      <c r="N55" s="9">
        <f>SUM(B55:M55)</f>
        <v>3775000.0000000005</v>
      </c>
    </row>
    <row r="58" spans="1:14" ht="29" x14ac:dyDescent="0.35">
      <c r="A58" s="3" t="s">
        <v>63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29</v>
      </c>
      <c r="I58" s="5" t="s">
        <v>30</v>
      </c>
      <c r="J58" s="5" t="s">
        <v>31</v>
      </c>
      <c r="K58" s="5" t="s">
        <v>32</v>
      </c>
      <c r="L58" s="5" t="s">
        <v>33</v>
      </c>
      <c r="M58" s="5" t="s">
        <v>34</v>
      </c>
      <c r="N58" s="5" t="s">
        <v>35</v>
      </c>
    </row>
    <row r="59" spans="1:14" x14ac:dyDescent="0.35">
      <c r="A59" s="6" t="s">
        <v>6</v>
      </c>
      <c r="B59" s="13">
        <f>B4</f>
        <v>2800000.0000000005</v>
      </c>
      <c r="C59" s="13">
        <f t="shared" ref="C59:M59" si="12">C4</f>
        <v>2800000.0000000005</v>
      </c>
      <c r="D59" s="13">
        <f t="shared" si="12"/>
        <v>3200000</v>
      </c>
      <c r="E59" s="13">
        <f t="shared" si="12"/>
        <v>3200000</v>
      </c>
      <c r="F59" s="13">
        <f t="shared" si="12"/>
        <v>3200000</v>
      </c>
      <c r="G59" s="13">
        <f t="shared" si="12"/>
        <v>3200000</v>
      </c>
      <c r="H59" s="13">
        <f t="shared" si="12"/>
        <v>3200000</v>
      </c>
      <c r="I59" s="13">
        <f t="shared" si="12"/>
        <v>3200000</v>
      </c>
      <c r="J59" s="13">
        <f t="shared" si="12"/>
        <v>3600000</v>
      </c>
      <c r="K59" s="13">
        <f t="shared" si="12"/>
        <v>3600000</v>
      </c>
      <c r="L59" s="13">
        <f t="shared" si="12"/>
        <v>3600000</v>
      </c>
      <c r="M59" s="13">
        <f t="shared" si="12"/>
        <v>4400000</v>
      </c>
      <c r="N59" s="15">
        <f>SUM(B59:M59)</f>
        <v>40000000</v>
      </c>
    </row>
    <row r="60" spans="1:14" x14ac:dyDescent="0.35">
      <c r="A60" s="6"/>
      <c r="B60" s="4"/>
      <c r="C60" s="4"/>
      <c r="D60" s="4"/>
      <c r="E60" s="4"/>
      <c r="F60" s="4"/>
      <c r="N60" s="15"/>
    </row>
    <row r="61" spans="1:14" x14ac:dyDescent="0.35">
      <c r="A61" s="6" t="s">
        <v>64</v>
      </c>
      <c r="B61" s="13">
        <f>B13</f>
        <v>655166.66666666663</v>
      </c>
      <c r="C61" s="13">
        <f t="shared" ref="C61:M61" si="13">C13</f>
        <v>655166.66666666663</v>
      </c>
      <c r="D61" s="13">
        <f t="shared" si="13"/>
        <v>673166.66666666663</v>
      </c>
      <c r="E61" s="13">
        <f t="shared" si="13"/>
        <v>673166.66666666663</v>
      </c>
      <c r="F61" s="13">
        <f t="shared" si="13"/>
        <v>673166.66666666663</v>
      </c>
      <c r="G61" s="13">
        <f t="shared" si="13"/>
        <v>673166.66666666663</v>
      </c>
      <c r="H61" s="13">
        <f t="shared" si="13"/>
        <v>673166.66666666663</v>
      </c>
      <c r="I61" s="13">
        <f t="shared" si="13"/>
        <v>673166.66666666663</v>
      </c>
      <c r="J61" s="13">
        <f t="shared" si="13"/>
        <v>691166.66666666663</v>
      </c>
      <c r="K61" s="13">
        <f t="shared" si="13"/>
        <v>691166.66666666663</v>
      </c>
      <c r="L61" s="13">
        <f t="shared" si="13"/>
        <v>691166.66666666663</v>
      </c>
      <c r="M61" s="13">
        <f t="shared" si="13"/>
        <v>727166.66666666663</v>
      </c>
      <c r="N61" s="15">
        <f t="shared" ref="N60:N67" si="14">SUM(B61:M61)</f>
        <v>8150000.0000000009</v>
      </c>
    </row>
    <row r="62" spans="1:14" ht="29" x14ac:dyDescent="0.35">
      <c r="A62" s="6" t="s">
        <v>65</v>
      </c>
      <c r="B62" s="13">
        <f>B22</f>
        <v>367166.66666666669</v>
      </c>
      <c r="C62" s="13">
        <f t="shared" ref="C62:M62" si="15">C22</f>
        <v>367166.66666666669</v>
      </c>
      <c r="D62" s="13">
        <f t="shared" si="15"/>
        <v>391166.66666666669</v>
      </c>
      <c r="E62" s="13">
        <f t="shared" si="15"/>
        <v>391166.66666666669</v>
      </c>
      <c r="F62" s="13">
        <f t="shared" si="15"/>
        <v>391166.66666666669</v>
      </c>
      <c r="G62" s="13">
        <f t="shared" si="15"/>
        <v>391166.66666666669</v>
      </c>
      <c r="H62" s="13">
        <f t="shared" si="15"/>
        <v>391166.66666666669</v>
      </c>
      <c r="I62" s="13">
        <f t="shared" si="15"/>
        <v>391166.66666666669</v>
      </c>
      <c r="J62" s="13">
        <f t="shared" si="15"/>
        <v>415166.66666666669</v>
      </c>
      <c r="K62" s="13">
        <f t="shared" si="15"/>
        <v>415166.66666666669</v>
      </c>
      <c r="L62" s="13">
        <f t="shared" si="15"/>
        <v>415166.66666666669</v>
      </c>
      <c r="M62" s="13">
        <f t="shared" si="15"/>
        <v>463166.66666666669</v>
      </c>
      <c r="N62" s="15">
        <f t="shared" si="14"/>
        <v>4790000</v>
      </c>
    </row>
    <row r="63" spans="1:14" ht="29" x14ac:dyDescent="0.35">
      <c r="A63" s="6" t="s">
        <v>66</v>
      </c>
      <c r="B63" s="9">
        <f>B30</f>
        <v>1074500</v>
      </c>
      <c r="C63" s="9">
        <f t="shared" ref="C63:M63" si="16">C30</f>
        <v>1074500</v>
      </c>
      <c r="D63" s="9">
        <f t="shared" si="16"/>
        <v>1090500</v>
      </c>
      <c r="E63" s="9">
        <f t="shared" si="16"/>
        <v>1090500</v>
      </c>
      <c r="F63" s="9">
        <f t="shared" si="16"/>
        <v>1090500</v>
      </c>
      <c r="G63" s="9">
        <f t="shared" si="16"/>
        <v>1090500</v>
      </c>
      <c r="H63" s="9">
        <f t="shared" si="16"/>
        <v>1090500</v>
      </c>
      <c r="I63" s="9">
        <f t="shared" si="16"/>
        <v>1090500</v>
      </c>
      <c r="J63" s="9">
        <f t="shared" si="16"/>
        <v>1106500</v>
      </c>
      <c r="K63" s="9">
        <f t="shared" si="16"/>
        <v>1106500</v>
      </c>
      <c r="L63" s="9">
        <f t="shared" si="16"/>
        <v>1106500</v>
      </c>
      <c r="M63" s="9">
        <f t="shared" si="16"/>
        <v>1138500</v>
      </c>
      <c r="N63" s="15">
        <f t="shared" si="14"/>
        <v>13150000</v>
      </c>
    </row>
    <row r="64" spans="1:14" ht="29" x14ac:dyDescent="0.35">
      <c r="A64" s="6" t="s">
        <v>67</v>
      </c>
      <c r="B64" s="9">
        <f>B38</f>
        <v>212083.33333333334</v>
      </c>
      <c r="C64" s="9">
        <f t="shared" ref="C64:M64" si="17">C38</f>
        <v>212083.33333333334</v>
      </c>
      <c r="D64" s="9">
        <f t="shared" si="17"/>
        <v>212083.33333333334</v>
      </c>
      <c r="E64" s="9">
        <f t="shared" si="17"/>
        <v>212083.33333333334</v>
      </c>
      <c r="F64" s="9">
        <f t="shared" si="17"/>
        <v>212083.33333333334</v>
      </c>
      <c r="G64" s="9">
        <f t="shared" si="17"/>
        <v>212083.33333333334</v>
      </c>
      <c r="H64" s="9">
        <f t="shared" si="17"/>
        <v>212083.33333333334</v>
      </c>
      <c r="I64" s="9">
        <f t="shared" si="17"/>
        <v>212083.33333333334</v>
      </c>
      <c r="J64" s="9">
        <f t="shared" si="17"/>
        <v>212083.33333333334</v>
      </c>
      <c r="K64" s="9">
        <f t="shared" si="17"/>
        <v>212083.33333333334</v>
      </c>
      <c r="L64" s="9">
        <f t="shared" si="17"/>
        <v>212083.33333333334</v>
      </c>
      <c r="M64" s="9">
        <f t="shared" si="17"/>
        <v>212083.33333333334</v>
      </c>
      <c r="N64" s="15">
        <f t="shared" si="14"/>
        <v>2545000</v>
      </c>
    </row>
    <row r="65" spans="1:14" ht="43.5" x14ac:dyDescent="0.35">
      <c r="A65" s="6" t="s">
        <v>68</v>
      </c>
      <c r="B65" s="9">
        <f>B46</f>
        <v>267500</v>
      </c>
      <c r="C65" s="9">
        <f t="shared" ref="C65:M65" si="18">C46</f>
        <v>267500</v>
      </c>
      <c r="D65" s="9">
        <f t="shared" si="18"/>
        <v>267500</v>
      </c>
      <c r="E65" s="9">
        <f t="shared" si="18"/>
        <v>267500</v>
      </c>
      <c r="F65" s="9">
        <f t="shared" si="18"/>
        <v>267500</v>
      </c>
      <c r="G65" s="9">
        <f t="shared" si="18"/>
        <v>267500</v>
      </c>
      <c r="H65" s="9">
        <f t="shared" si="18"/>
        <v>267500</v>
      </c>
      <c r="I65" s="9">
        <f t="shared" si="18"/>
        <v>267500</v>
      </c>
      <c r="J65" s="9">
        <f t="shared" si="18"/>
        <v>267500</v>
      </c>
      <c r="K65" s="9">
        <f t="shared" si="18"/>
        <v>267500</v>
      </c>
      <c r="L65" s="9">
        <f t="shared" si="18"/>
        <v>267500</v>
      </c>
      <c r="M65" s="9">
        <f t="shared" si="18"/>
        <v>267500</v>
      </c>
      <c r="N65" s="15">
        <f t="shared" si="14"/>
        <v>3210000</v>
      </c>
    </row>
    <row r="66" spans="1:14" x14ac:dyDescent="0.35">
      <c r="A66" s="6" t="s">
        <v>69</v>
      </c>
      <c r="B66" s="9">
        <f>B55</f>
        <v>314583.33333333331</v>
      </c>
      <c r="C66" s="9">
        <f t="shared" ref="C66:M66" si="19">C55</f>
        <v>314583.33333333331</v>
      </c>
      <c r="D66" s="9">
        <f t="shared" si="19"/>
        <v>314583.33333333331</v>
      </c>
      <c r="E66" s="9">
        <f t="shared" si="19"/>
        <v>314583.33333333331</v>
      </c>
      <c r="F66" s="9">
        <f t="shared" si="19"/>
        <v>314583.33333333331</v>
      </c>
      <c r="G66" s="9">
        <f t="shared" si="19"/>
        <v>314583.33333333331</v>
      </c>
      <c r="H66" s="9">
        <f t="shared" si="19"/>
        <v>314583.33333333331</v>
      </c>
      <c r="I66" s="9">
        <f t="shared" si="19"/>
        <v>314583.33333333331</v>
      </c>
      <c r="J66" s="9">
        <f t="shared" si="19"/>
        <v>314583.33333333331</v>
      </c>
      <c r="K66" s="9">
        <f t="shared" si="19"/>
        <v>314583.33333333331</v>
      </c>
      <c r="L66" s="9">
        <f t="shared" si="19"/>
        <v>314583.33333333331</v>
      </c>
      <c r="M66" s="9">
        <f t="shared" si="19"/>
        <v>314583.33333333331</v>
      </c>
      <c r="N66" s="15">
        <f t="shared" si="14"/>
        <v>3775000.0000000005</v>
      </c>
    </row>
    <row r="67" spans="1:14" ht="43.5" x14ac:dyDescent="0.35">
      <c r="A67" s="7" t="s">
        <v>70</v>
      </c>
      <c r="B67" s="13">
        <f>SUM(B61:B66)</f>
        <v>2891000</v>
      </c>
      <c r="C67" s="13">
        <f t="shared" ref="C67:M67" si="20">SUM(C61:C66)</f>
        <v>2891000</v>
      </c>
      <c r="D67" s="13">
        <f t="shared" si="20"/>
        <v>2949000</v>
      </c>
      <c r="E67" s="13">
        <f t="shared" si="20"/>
        <v>2949000</v>
      </c>
      <c r="F67" s="13">
        <f t="shared" si="20"/>
        <v>2949000</v>
      </c>
      <c r="G67" s="13">
        <f t="shared" si="20"/>
        <v>2949000</v>
      </c>
      <c r="H67" s="13">
        <f t="shared" si="20"/>
        <v>2949000</v>
      </c>
      <c r="I67" s="13">
        <f t="shared" si="20"/>
        <v>2949000</v>
      </c>
      <c r="J67" s="13">
        <f t="shared" si="20"/>
        <v>3007000</v>
      </c>
      <c r="K67" s="13">
        <f t="shared" si="20"/>
        <v>3007000</v>
      </c>
      <c r="L67" s="13">
        <f t="shared" si="20"/>
        <v>3007000</v>
      </c>
      <c r="M67" s="13">
        <f t="shared" si="20"/>
        <v>3123000</v>
      </c>
      <c r="N67" s="15">
        <f t="shared" si="14"/>
        <v>35620000</v>
      </c>
    </row>
    <row r="68" spans="1:14" x14ac:dyDescent="0.35">
      <c r="A68" s="6"/>
      <c r="B68" s="4"/>
      <c r="C68" s="4"/>
      <c r="D68" s="4"/>
      <c r="E68" s="4"/>
      <c r="F68" s="4"/>
    </row>
    <row r="69" spans="1:14" ht="29" x14ac:dyDescent="0.35">
      <c r="A69" s="7" t="s">
        <v>71</v>
      </c>
      <c r="B69" s="13">
        <f>B59-B67</f>
        <v>-90999.999999999534</v>
      </c>
      <c r="C69" s="13">
        <f t="shared" ref="C69:N69" si="21">C59-C67</f>
        <v>-90999.999999999534</v>
      </c>
      <c r="D69" s="13">
        <f t="shared" si="21"/>
        <v>251000</v>
      </c>
      <c r="E69" s="13">
        <f t="shared" si="21"/>
        <v>251000</v>
      </c>
      <c r="F69" s="13">
        <f t="shared" si="21"/>
        <v>251000</v>
      </c>
      <c r="G69" s="13">
        <f t="shared" si="21"/>
        <v>251000</v>
      </c>
      <c r="H69" s="13">
        <f t="shared" si="21"/>
        <v>251000</v>
      </c>
      <c r="I69" s="13">
        <f t="shared" si="21"/>
        <v>251000</v>
      </c>
      <c r="J69" s="13">
        <f t="shared" si="21"/>
        <v>593000</v>
      </c>
      <c r="K69" s="13">
        <f t="shared" si="21"/>
        <v>593000</v>
      </c>
      <c r="L69" s="13">
        <f t="shared" si="21"/>
        <v>593000</v>
      </c>
      <c r="M69" s="13">
        <f t="shared" si="21"/>
        <v>1277000</v>
      </c>
      <c r="N69" s="13">
        <f t="shared" si="21"/>
        <v>4380000</v>
      </c>
    </row>
    <row r="70" spans="1:14" ht="29" x14ac:dyDescent="0.35">
      <c r="A70" s="7" t="s">
        <v>72</v>
      </c>
      <c r="B70" s="10">
        <f>B69/B59</f>
        <v>-3.2499999999999828E-2</v>
      </c>
      <c r="C70" s="10">
        <f t="shared" ref="C70:N70" si="22">C69/C59</f>
        <v>-3.2499999999999828E-2</v>
      </c>
      <c r="D70" s="10">
        <f t="shared" si="22"/>
        <v>7.8437499999999993E-2</v>
      </c>
      <c r="E70" s="10">
        <f t="shared" si="22"/>
        <v>7.8437499999999993E-2</v>
      </c>
      <c r="F70" s="10">
        <f t="shared" si="22"/>
        <v>7.8437499999999993E-2</v>
      </c>
      <c r="G70" s="10">
        <f t="shared" si="22"/>
        <v>7.8437499999999993E-2</v>
      </c>
      <c r="H70" s="10">
        <f t="shared" si="22"/>
        <v>7.8437499999999993E-2</v>
      </c>
      <c r="I70" s="10">
        <f t="shared" si="22"/>
        <v>7.8437499999999993E-2</v>
      </c>
      <c r="J70" s="10">
        <f t="shared" si="22"/>
        <v>0.16472222222222221</v>
      </c>
      <c r="K70" s="10">
        <f t="shared" si="22"/>
        <v>0.16472222222222221</v>
      </c>
      <c r="L70" s="10">
        <f t="shared" si="22"/>
        <v>0.16472222222222221</v>
      </c>
      <c r="M70" s="10">
        <f t="shared" si="22"/>
        <v>0.29022727272727272</v>
      </c>
      <c r="N70" s="10">
        <f t="shared" si="22"/>
        <v>0.1095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F0F5-0E8A-4F25-8773-04D753304537}">
  <dimension ref="A1:N70"/>
  <sheetViews>
    <sheetView topLeftCell="H65" zoomScale="91" workbookViewId="0"/>
  </sheetViews>
  <sheetFormatPr defaultRowHeight="14.5" x14ac:dyDescent="0.35"/>
  <cols>
    <col min="1" max="1" width="13.26953125" customWidth="1"/>
    <col min="2" max="2" width="19.26953125" bestFit="1" customWidth="1"/>
    <col min="3" max="13" width="15.54296875" bestFit="1" customWidth="1"/>
    <col min="14" max="14" width="14.54296875" bestFit="1" customWidth="1"/>
  </cols>
  <sheetData>
    <row r="1" spans="1:14" x14ac:dyDescent="0.35">
      <c r="A1" s="3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82</v>
      </c>
    </row>
    <row r="2" spans="1:14" ht="29" x14ac:dyDescent="0.35">
      <c r="A2" s="6" t="s">
        <v>4</v>
      </c>
      <c r="B2" s="13">
        <f>assumptions!$C$7*assumptions!B53</f>
        <v>2898000.0000000005</v>
      </c>
      <c r="C2" s="13">
        <f>assumptions!$C$7*assumptions!C53</f>
        <v>2898000.0000000005</v>
      </c>
      <c r="D2" s="13">
        <f>assumptions!$C$7*assumptions!D53</f>
        <v>3312000</v>
      </c>
      <c r="E2" s="13">
        <f>assumptions!$C$7*assumptions!E53</f>
        <v>3312000</v>
      </c>
      <c r="F2" s="13">
        <f>assumptions!$C$7*assumptions!F53</f>
        <v>3312000</v>
      </c>
      <c r="G2" s="13">
        <f>assumptions!$C$7*assumptions!G53</f>
        <v>3312000</v>
      </c>
      <c r="H2" s="13">
        <f>assumptions!$C$7*assumptions!H53</f>
        <v>3312000</v>
      </c>
      <c r="I2" s="13">
        <f>assumptions!$C$7*assumptions!I53</f>
        <v>3312000</v>
      </c>
      <c r="J2" s="13">
        <f>assumptions!$C$7*assumptions!J53</f>
        <v>3726000</v>
      </c>
      <c r="K2" s="13">
        <f>assumptions!$C$7*assumptions!K53</f>
        <v>3726000</v>
      </c>
      <c r="L2" s="13">
        <f>assumptions!$C$7*assumptions!L53</f>
        <v>3726000</v>
      </c>
      <c r="M2" s="13">
        <f>assumptions!$C$7*assumptions!M53</f>
        <v>4554000</v>
      </c>
      <c r="N2" s="13">
        <f>SUM(B2:M2)</f>
        <v>41400000</v>
      </c>
    </row>
    <row r="3" spans="1:14" ht="29" x14ac:dyDescent="0.35">
      <c r="A3" s="6" t="s">
        <v>36</v>
      </c>
      <c r="B3" s="13">
        <f>assumptions!$C$8*assumptions!B53</f>
        <v>322000.00000000006</v>
      </c>
      <c r="C3" s="13">
        <f>assumptions!$C$8*assumptions!C53</f>
        <v>322000.00000000006</v>
      </c>
      <c r="D3" s="13">
        <f>assumptions!$C$8*assumptions!D53</f>
        <v>368000</v>
      </c>
      <c r="E3" s="13">
        <f>assumptions!$C$8*assumptions!E53</f>
        <v>368000</v>
      </c>
      <c r="F3" s="13">
        <f>assumptions!$C$8*assumptions!F53</f>
        <v>368000</v>
      </c>
      <c r="G3" s="13">
        <f>assumptions!$C$8*assumptions!G53</f>
        <v>368000</v>
      </c>
      <c r="H3" s="13">
        <f>assumptions!$C$8*assumptions!H53</f>
        <v>368000</v>
      </c>
      <c r="I3" s="13">
        <f>assumptions!$C$8*assumptions!I53</f>
        <v>368000</v>
      </c>
      <c r="J3" s="13">
        <f>assumptions!$C$8*assumptions!J53</f>
        <v>414000</v>
      </c>
      <c r="K3" s="13">
        <f>assumptions!$C$8*assumptions!K53</f>
        <v>414000</v>
      </c>
      <c r="L3" s="13">
        <f>assumptions!$C$8*assumptions!L53</f>
        <v>414000</v>
      </c>
      <c r="M3" s="13">
        <f>assumptions!$C$8*assumptions!M53</f>
        <v>506000</v>
      </c>
      <c r="N3" s="13">
        <f>SUM(B3:M3)</f>
        <v>4600000</v>
      </c>
    </row>
    <row r="4" spans="1:14" x14ac:dyDescent="0.35">
      <c r="A4" s="7" t="s">
        <v>6</v>
      </c>
      <c r="B4" s="13">
        <f>SUM(B2:B3)</f>
        <v>3220000.0000000005</v>
      </c>
      <c r="C4" s="13">
        <f t="shared" ref="C4:N4" si="0">SUM(C2:C3)</f>
        <v>3220000.0000000005</v>
      </c>
      <c r="D4" s="13">
        <f t="shared" si="0"/>
        <v>3680000</v>
      </c>
      <c r="E4" s="13">
        <f t="shared" si="0"/>
        <v>3680000</v>
      </c>
      <c r="F4" s="13">
        <f t="shared" si="0"/>
        <v>3680000</v>
      </c>
      <c r="G4" s="13">
        <f t="shared" si="0"/>
        <v>3680000</v>
      </c>
      <c r="H4" s="13">
        <f t="shared" si="0"/>
        <v>3680000</v>
      </c>
      <c r="I4" s="13">
        <f t="shared" si="0"/>
        <v>3680000</v>
      </c>
      <c r="J4" s="13">
        <f t="shared" si="0"/>
        <v>4140000</v>
      </c>
      <c r="K4" s="13">
        <f t="shared" si="0"/>
        <v>4140000</v>
      </c>
      <c r="L4" s="13">
        <f t="shared" si="0"/>
        <v>4140000</v>
      </c>
      <c r="M4" s="13">
        <f t="shared" si="0"/>
        <v>5060000</v>
      </c>
      <c r="N4" s="13">
        <f t="shared" si="0"/>
        <v>46000000</v>
      </c>
    </row>
    <row r="7" spans="1:14" x14ac:dyDescent="0.35">
      <c r="A7" s="3" t="s">
        <v>11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82</v>
      </c>
    </row>
    <row r="8" spans="1:14" ht="29" x14ac:dyDescent="0.35">
      <c r="A8" s="6" t="s">
        <v>37</v>
      </c>
      <c r="B8" s="13">
        <f>assumptions!$C$15*assumptions!$C$25/12</f>
        <v>472083.33333333331</v>
      </c>
      <c r="C8" s="13">
        <f>assumptions!$C$15*assumptions!$C$25/12</f>
        <v>472083.33333333331</v>
      </c>
      <c r="D8" s="13">
        <f>assumptions!$C$15*assumptions!$C$25/12</f>
        <v>472083.33333333331</v>
      </c>
      <c r="E8" s="13">
        <f>assumptions!$C$15*assumptions!$C$25/12</f>
        <v>472083.33333333331</v>
      </c>
      <c r="F8" s="13">
        <f>assumptions!$C$15*assumptions!$C$25/12</f>
        <v>472083.33333333331</v>
      </c>
      <c r="G8" s="13">
        <f>assumptions!$C$15*assumptions!$C$25/12</f>
        <v>472083.33333333331</v>
      </c>
      <c r="H8" s="13">
        <f>assumptions!$C$15*assumptions!$C$25/12</f>
        <v>472083.33333333331</v>
      </c>
      <c r="I8" s="13">
        <f>assumptions!$C$15*assumptions!$C$25/12</f>
        <v>472083.33333333331</v>
      </c>
      <c r="J8" s="13">
        <f>assumptions!$C$15*assumptions!$C$25/12</f>
        <v>472083.33333333331</v>
      </c>
      <c r="K8" s="13">
        <f>assumptions!$C$15*assumptions!$C$25/12</f>
        <v>472083.33333333331</v>
      </c>
      <c r="L8" s="13">
        <f>assumptions!$C$15*assumptions!$C$25/12</f>
        <v>472083.33333333331</v>
      </c>
      <c r="M8" s="13">
        <f>assumptions!$C$15*assumptions!$C$25/12</f>
        <v>472083.33333333331</v>
      </c>
      <c r="N8" s="13">
        <f>SUM(B8:M8)</f>
        <v>5664999.9999999991</v>
      </c>
    </row>
    <row r="9" spans="1:14" ht="29" x14ac:dyDescent="0.35">
      <c r="A9" s="6" t="s">
        <v>38</v>
      </c>
      <c r="B9" s="13">
        <f>$B$8*assumptions!$C$33</f>
        <v>94416.666666666672</v>
      </c>
      <c r="C9" s="13">
        <f>$B$8*assumptions!$C$33</f>
        <v>94416.666666666672</v>
      </c>
      <c r="D9" s="13">
        <f>$B$8*assumptions!$C$33</f>
        <v>94416.666666666672</v>
      </c>
      <c r="E9" s="13">
        <f>$B$8*assumptions!$C$33</f>
        <v>94416.666666666672</v>
      </c>
      <c r="F9" s="13">
        <f>$B$8*assumptions!$C$33</f>
        <v>94416.666666666672</v>
      </c>
      <c r="G9" s="13">
        <f>$B$8*assumptions!$C$33</f>
        <v>94416.666666666672</v>
      </c>
      <c r="H9" s="13">
        <f>$B$8*assumptions!$C$33</f>
        <v>94416.666666666672</v>
      </c>
      <c r="I9" s="13">
        <f>$B$8*assumptions!$C$33</f>
        <v>94416.666666666672</v>
      </c>
      <c r="J9" s="13">
        <f>$B$8*assumptions!$C$33</f>
        <v>94416.666666666672</v>
      </c>
      <c r="K9" s="13">
        <f>$B$8*assumptions!$C$33</f>
        <v>94416.666666666672</v>
      </c>
      <c r="L9" s="13">
        <f>$B$8*assumptions!$C$33</f>
        <v>94416.666666666672</v>
      </c>
      <c r="M9" s="13">
        <f>$B$8*assumptions!$C$33</f>
        <v>94416.666666666672</v>
      </c>
      <c r="N9" s="13">
        <f>SUM(B9:M9)</f>
        <v>1132999.9999999998</v>
      </c>
    </row>
    <row r="10" spans="1:14" ht="29" x14ac:dyDescent="0.35">
      <c r="A10" s="6" t="s">
        <v>39</v>
      </c>
      <c r="B10" s="15">
        <f>B2*assumptions!$C$40</f>
        <v>144900.00000000003</v>
      </c>
      <c r="C10" s="15">
        <f>C2*assumptions!$C$40</f>
        <v>144900.00000000003</v>
      </c>
      <c r="D10" s="15">
        <f>D2*assumptions!$C$40</f>
        <v>165600</v>
      </c>
      <c r="E10" s="15">
        <f>E2*assumptions!$C$40</f>
        <v>165600</v>
      </c>
      <c r="F10" s="15">
        <f>F2*assumptions!$C$40</f>
        <v>165600</v>
      </c>
      <c r="G10" s="15">
        <f>G2*assumptions!$C$40</f>
        <v>165600</v>
      </c>
      <c r="H10" s="15">
        <f>H2*assumptions!$C$40</f>
        <v>165600</v>
      </c>
      <c r="I10" s="15">
        <f>I2*assumptions!$C$40</f>
        <v>165600</v>
      </c>
      <c r="J10" s="15">
        <f>J2*assumptions!$C$40</f>
        <v>186300</v>
      </c>
      <c r="K10" s="15">
        <f>K2*assumptions!$C$40</f>
        <v>186300</v>
      </c>
      <c r="L10" s="15">
        <f>L2*assumptions!$C$40</f>
        <v>186300</v>
      </c>
      <c r="M10" s="15">
        <f>M2*assumptions!$C$40</f>
        <v>227700</v>
      </c>
      <c r="N10" s="13">
        <f>SUM(B10:M10)</f>
        <v>2070000</v>
      </c>
    </row>
    <row r="11" spans="1:14" ht="29" x14ac:dyDescent="0.35">
      <c r="A11" s="6" t="s">
        <v>40</v>
      </c>
      <c r="B11" s="9">
        <f>(assumptions!$C$15*assumptions!$C$41)/12</f>
        <v>13750</v>
      </c>
      <c r="C11" s="9">
        <f>(assumptions!$C$15*assumptions!$C$41)/12</f>
        <v>13750</v>
      </c>
      <c r="D11" s="9">
        <f>(assumptions!$C$15*assumptions!$C$41)/12</f>
        <v>13750</v>
      </c>
      <c r="E11" s="9">
        <f>(assumptions!$C$15*assumptions!$C$41)/12</f>
        <v>13750</v>
      </c>
      <c r="F11" s="9">
        <f>(assumptions!$C$15*assumptions!$C$41)/12</f>
        <v>13750</v>
      </c>
      <c r="G11" s="9">
        <f>(assumptions!$C$15*assumptions!$C$41)/12</f>
        <v>13750</v>
      </c>
      <c r="H11" s="9">
        <f>(assumptions!$C$15*assumptions!$C$41)/12</f>
        <v>13750</v>
      </c>
      <c r="I11" s="9">
        <f>(assumptions!$C$15*assumptions!$C$41)/12</f>
        <v>13750</v>
      </c>
      <c r="J11" s="9">
        <f>(assumptions!$C$15*assumptions!$C$41)/12</f>
        <v>13750</v>
      </c>
      <c r="K11" s="9">
        <f>(assumptions!$C$15*assumptions!$C$41)/12</f>
        <v>13750</v>
      </c>
      <c r="L11" s="9">
        <f>(assumptions!$C$15*assumptions!$C$41)/12</f>
        <v>13750</v>
      </c>
      <c r="M11" s="9">
        <f>(assumptions!$C$15*assumptions!$C$41)/12</f>
        <v>13750</v>
      </c>
      <c r="N11" s="13">
        <f>SUM(B11:M11)</f>
        <v>165000</v>
      </c>
    </row>
    <row r="12" spans="1:14" ht="29" x14ac:dyDescent="0.35">
      <c r="A12" s="6" t="s">
        <v>41</v>
      </c>
      <c r="B12" s="13">
        <f>(assumptions!$C$15*assumptions!$C$42)/12</f>
        <v>18333.333333333332</v>
      </c>
      <c r="C12" s="13">
        <f>(assumptions!$C$15*assumptions!$C$42)/12</f>
        <v>18333.333333333332</v>
      </c>
      <c r="D12" s="13">
        <f>(assumptions!$C$15*assumptions!$C$42)/12</f>
        <v>18333.333333333332</v>
      </c>
      <c r="E12" s="13">
        <f>(assumptions!$C$15*assumptions!$C$42)/12</f>
        <v>18333.333333333332</v>
      </c>
      <c r="F12" s="13">
        <f>(assumptions!$C$15*assumptions!$C$42)/12</f>
        <v>18333.333333333332</v>
      </c>
      <c r="G12" s="13">
        <f>(assumptions!$C$15*assumptions!$C$42)/12</f>
        <v>18333.333333333332</v>
      </c>
      <c r="H12" s="13">
        <f>(assumptions!$C$15*assumptions!$C$42)/12</f>
        <v>18333.333333333332</v>
      </c>
      <c r="I12" s="13">
        <f>(assumptions!$C$15*assumptions!$C$42)/12</f>
        <v>18333.333333333332</v>
      </c>
      <c r="J12" s="13">
        <f>(assumptions!$C$15*assumptions!$C$42)/12</f>
        <v>18333.333333333332</v>
      </c>
      <c r="K12" s="13">
        <f>(assumptions!$C$15*assumptions!$C$42)/12</f>
        <v>18333.333333333332</v>
      </c>
      <c r="L12" s="13">
        <f>(assumptions!$C$15*assumptions!$C$42)/12</f>
        <v>18333.333333333332</v>
      </c>
      <c r="M12" s="13">
        <f>(assumptions!$C$15*assumptions!$C$42)/12</f>
        <v>18333.333333333332</v>
      </c>
      <c r="N12" s="13">
        <f>SUM(B12:M12)</f>
        <v>220000.00000000003</v>
      </c>
    </row>
    <row r="13" spans="1:14" ht="29" x14ac:dyDescent="0.35">
      <c r="A13" s="7" t="s">
        <v>42</v>
      </c>
      <c r="B13" s="13">
        <f>SUM(B8:B12)</f>
        <v>743483.33333333337</v>
      </c>
      <c r="C13" s="13">
        <f t="shared" ref="C13:N13" si="1">SUM(C8:C12)</f>
        <v>743483.33333333337</v>
      </c>
      <c r="D13" s="13">
        <f t="shared" si="1"/>
        <v>764183.33333333337</v>
      </c>
      <c r="E13" s="13">
        <f t="shared" si="1"/>
        <v>764183.33333333337</v>
      </c>
      <c r="F13" s="13">
        <f t="shared" si="1"/>
        <v>764183.33333333337</v>
      </c>
      <c r="G13" s="13">
        <f t="shared" si="1"/>
        <v>764183.33333333337</v>
      </c>
      <c r="H13" s="13">
        <f t="shared" si="1"/>
        <v>764183.33333333337</v>
      </c>
      <c r="I13" s="13">
        <f t="shared" si="1"/>
        <v>764183.33333333337</v>
      </c>
      <c r="J13" s="13">
        <f t="shared" si="1"/>
        <v>784883.33333333337</v>
      </c>
      <c r="K13" s="13">
        <f t="shared" si="1"/>
        <v>784883.33333333337</v>
      </c>
      <c r="L13" s="13">
        <f t="shared" si="1"/>
        <v>784883.33333333337</v>
      </c>
      <c r="M13" s="13">
        <f t="shared" si="1"/>
        <v>826283.33333333337</v>
      </c>
      <c r="N13" s="13">
        <f t="shared" si="1"/>
        <v>9253000</v>
      </c>
    </row>
    <row r="16" spans="1:14" x14ac:dyDescent="0.35">
      <c r="A16" s="3" t="s">
        <v>13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82</v>
      </c>
    </row>
    <row r="17" spans="1:14" ht="29" x14ac:dyDescent="0.35">
      <c r="A17" s="6" t="s">
        <v>37</v>
      </c>
      <c r="B17" s="13">
        <f>(assumptions!$C$27*assumptions!$C$17)/12</f>
        <v>179391.66666666666</v>
      </c>
      <c r="C17" s="13">
        <f>(assumptions!$C$27*assumptions!$C$17)/12</f>
        <v>179391.66666666666</v>
      </c>
      <c r="D17" s="13">
        <f>(assumptions!$C$27*assumptions!$C$17)/12</f>
        <v>179391.66666666666</v>
      </c>
      <c r="E17" s="13">
        <f>(assumptions!$C$27*assumptions!$C$17)/12</f>
        <v>179391.66666666666</v>
      </c>
      <c r="F17" s="13">
        <f>(assumptions!$C$27*assumptions!$C$17)/12</f>
        <v>179391.66666666666</v>
      </c>
      <c r="G17" s="13">
        <f>(assumptions!$C$27*assumptions!$C$17)/12</f>
        <v>179391.66666666666</v>
      </c>
      <c r="H17" s="13">
        <f>(assumptions!$C$27*assumptions!$C$17)/12</f>
        <v>179391.66666666666</v>
      </c>
      <c r="I17" s="13">
        <f>(assumptions!$C$27*assumptions!$C$17)/12</f>
        <v>179391.66666666666</v>
      </c>
      <c r="J17" s="13">
        <f>(assumptions!$C$27*assumptions!$C$17)/12</f>
        <v>179391.66666666666</v>
      </c>
      <c r="K17" s="13">
        <f>(assumptions!$C$27*assumptions!$C$17)/12</f>
        <v>179391.66666666666</v>
      </c>
      <c r="L17" s="13">
        <f>(assumptions!$C$27*assumptions!$C$17)/12</f>
        <v>179391.66666666666</v>
      </c>
      <c r="M17" s="13">
        <f>(assumptions!$C$27*assumptions!$C$17)/12</f>
        <v>179391.66666666666</v>
      </c>
      <c r="N17" s="15">
        <f>SUM(B17:M17)</f>
        <v>2152700.0000000005</v>
      </c>
    </row>
    <row r="18" spans="1:14" ht="29" x14ac:dyDescent="0.35">
      <c r="A18" s="6" t="s">
        <v>38</v>
      </c>
      <c r="B18" s="13">
        <f>B17*assumptions!$C$33</f>
        <v>35878.333333333336</v>
      </c>
      <c r="C18" s="13">
        <f>C17*assumptions!$C$33</f>
        <v>35878.333333333336</v>
      </c>
      <c r="D18" s="13">
        <f>D17*assumptions!$C$33</f>
        <v>35878.333333333336</v>
      </c>
      <c r="E18" s="13">
        <f>E17*assumptions!$C$33</f>
        <v>35878.333333333336</v>
      </c>
      <c r="F18" s="13">
        <f>F17*assumptions!$C$33</f>
        <v>35878.333333333336</v>
      </c>
      <c r="G18" s="13">
        <f>G17*assumptions!$C$33</f>
        <v>35878.333333333336</v>
      </c>
      <c r="H18" s="13">
        <f>H17*assumptions!$C$33</f>
        <v>35878.333333333336</v>
      </c>
      <c r="I18" s="13">
        <f>I17*assumptions!$C$33</f>
        <v>35878.333333333336</v>
      </c>
      <c r="J18" s="13">
        <f>J17*assumptions!$C$33</f>
        <v>35878.333333333336</v>
      </c>
      <c r="K18" s="13">
        <f>K17*assumptions!$C$33</f>
        <v>35878.333333333336</v>
      </c>
      <c r="L18" s="13">
        <f>L17*assumptions!$C$33</f>
        <v>35878.333333333336</v>
      </c>
      <c r="M18" s="13">
        <f>M17*assumptions!$C$33</f>
        <v>35878.333333333336</v>
      </c>
      <c r="N18" s="15">
        <f>SUM(B18:M18)</f>
        <v>430539.99999999994</v>
      </c>
    </row>
    <row r="19" spans="1:14" ht="29" x14ac:dyDescent="0.35">
      <c r="A19" s="6" t="s">
        <v>49</v>
      </c>
      <c r="B19" s="13">
        <f>B4*assumptions!$C$45</f>
        <v>193200.00000000003</v>
      </c>
      <c r="C19" s="13">
        <f>C4*assumptions!$C$45</f>
        <v>193200.00000000003</v>
      </c>
      <c r="D19" s="13">
        <f>D4*assumptions!$C$45</f>
        <v>220800</v>
      </c>
      <c r="E19" s="13">
        <f>E4*assumptions!$C$45</f>
        <v>220800</v>
      </c>
      <c r="F19" s="13">
        <f>F4*assumptions!$C$45</f>
        <v>220800</v>
      </c>
      <c r="G19" s="13">
        <f>G4*assumptions!$C$45</f>
        <v>220800</v>
      </c>
      <c r="H19" s="13">
        <f>H4*assumptions!$C$45</f>
        <v>220800</v>
      </c>
      <c r="I19" s="13">
        <f>I4*assumptions!$C$45</f>
        <v>220800</v>
      </c>
      <c r="J19" s="13">
        <f>J4*assumptions!$C$45</f>
        <v>248400</v>
      </c>
      <c r="K19" s="13">
        <f>K4*assumptions!$C$45</f>
        <v>248400</v>
      </c>
      <c r="L19" s="13">
        <f>L4*assumptions!$C$45</f>
        <v>248400</v>
      </c>
      <c r="M19" s="13">
        <f>M4*assumptions!$C$45</f>
        <v>303600</v>
      </c>
      <c r="N19" s="15">
        <f>SUM(B19:M19)</f>
        <v>2760000</v>
      </c>
    </row>
    <row r="20" spans="1:14" ht="29" x14ac:dyDescent="0.35">
      <c r="A20" s="6" t="s">
        <v>40</v>
      </c>
      <c r="B20" s="13">
        <f>(assumptions!$C$17*assumptions!$C$41)/12</f>
        <v>5500</v>
      </c>
      <c r="C20" s="13">
        <f>(assumptions!$C$17*assumptions!$C$41)/12</f>
        <v>5500</v>
      </c>
      <c r="D20" s="13">
        <f>(assumptions!$C$17*assumptions!$C$41)/12</f>
        <v>5500</v>
      </c>
      <c r="E20" s="13">
        <f>(assumptions!$C$17*assumptions!$C$41)/12</f>
        <v>5500</v>
      </c>
      <c r="F20" s="13">
        <f>(assumptions!$C$17*assumptions!$C$41)/12</f>
        <v>5500</v>
      </c>
      <c r="G20" s="13">
        <f>(assumptions!$C$17*assumptions!$C$41)/12</f>
        <v>5500</v>
      </c>
      <c r="H20" s="13">
        <f>(assumptions!$C$17*assumptions!$C$41)/12</f>
        <v>5500</v>
      </c>
      <c r="I20" s="13">
        <f>(assumptions!$C$17*assumptions!$C$41)/12</f>
        <v>5500</v>
      </c>
      <c r="J20" s="13">
        <f>(assumptions!$C$17*assumptions!$C$41)/12</f>
        <v>5500</v>
      </c>
      <c r="K20" s="13">
        <f>(assumptions!$C$17*assumptions!$C$41)/12</f>
        <v>5500</v>
      </c>
      <c r="L20" s="13">
        <f>(assumptions!$C$17*assumptions!$C$41)/12</f>
        <v>5500</v>
      </c>
      <c r="M20" s="13">
        <f>(assumptions!$C$17*assumptions!$C$41)/12</f>
        <v>5500</v>
      </c>
      <c r="N20" s="15">
        <f>SUM(B20:M20)</f>
        <v>66000</v>
      </c>
    </row>
    <row r="21" spans="1:14" ht="29" x14ac:dyDescent="0.35">
      <c r="A21" s="6" t="s">
        <v>41</v>
      </c>
      <c r="B21" s="13">
        <f>(assumptions!$C$44*assumptions!$C$17)/12</f>
        <v>4583.333333333333</v>
      </c>
      <c r="C21" s="13">
        <f>(assumptions!$C$44*assumptions!$C$17)/12</f>
        <v>4583.333333333333</v>
      </c>
      <c r="D21" s="13">
        <f>(assumptions!$C$44*assumptions!$C$17)/12</f>
        <v>4583.333333333333</v>
      </c>
      <c r="E21" s="13">
        <f>(assumptions!$C$44*assumptions!$C$17)/12</f>
        <v>4583.333333333333</v>
      </c>
      <c r="F21" s="13">
        <f>(assumptions!$C$44*assumptions!$C$17)/12</f>
        <v>4583.333333333333</v>
      </c>
      <c r="G21" s="13">
        <f>(assumptions!$C$44*assumptions!$C$17)/12</f>
        <v>4583.333333333333</v>
      </c>
      <c r="H21" s="13">
        <f>(assumptions!$C$44*assumptions!$C$17)/12</f>
        <v>4583.333333333333</v>
      </c>
      <c r="I21" s="13">
        <f>(assumptions!$C$44*assumptions!$C$17)/12</f>
        <v>4583.333333333333</v>
      </c>
      <c r="J21" s="13">
        <f>(assumptions!$C$44*assumptions!$C$17)/12</f>
        <v>4583.333333333333</v>
      </c>
      <c r="K21" s="13">
        <f>(assumptions!$C$44*assumptions!$C$17)/12</f>
        <v>4583.333333333333</v>
      </c>
      <c r="L21" s="13">
        <f>(assumptions!$C$44*assumptions!$C$17)/12</f>
        <v>4583.333333333333</v>
      </c>
      <c r="M21" s="13">
        <f>(assumptions!$C$44*assumptions!$C$17)/12</f>
        <v>4583.333333333333</v>
      </c>
      <c r="N21" s="15">
        <f>SUM(B21:M21)</f>
        <v>55000.000000000007</v>
      </c>
    </row>
    <row r="22" spans="1:14" ht="43.5" x14ac:dyDescent="0.35">
      <c r="A22" s="7" t="s">
        <v>50</v>
      </c>
      <c r="B22" s="13">
        <f>SUM(B$17:B$21)</f>
        <v>418553.33333333331</v>
      </c>
      <c r="C22" s="13">
        <f>SUM(C$17:C$21)</f>
        <v>418553.33333333331</v>
      </c>
      <c r="D22" s="13">
        <f t="shared" ref="D22:N22" si="2">SUM(D$17:D$21)</f>
        <v>446153.33333333331</v>
      </c>
      <c r="E22" s="13">
        <f t="shared" si="2"/>
        <v>446153.33333333331</v>
      </c>
      <c r="F22" s="13">
        <f t="shared" si="2"/>
        <v>446153.33333333331</v>
      </c>
      <c r="G22" s="13">
        <f t="shared" si="2"/>
        <v>446153.33333333331</v>
      </c>
      <c r="H22" s="13">
        <f t="shared" si="2"/>
        <v>446153.33333333331</v>
      </c>
      <c r="I22" s="13">
        <f t="shared" si="2"/>
        <v>446153.33333333331</v>
      </c>
      <c r="J22" s="13">
        <f t="shared" si="2"/>
        <v>473753.33333333331</v>
      </c>
      <c r="K22" s="13">
        <f t="shared" si="2"/>
        <v>473753.33333333331</v>
      </c>
      <c r="L22" s="13">
        <f t="shared" si="2"/>
        <v>473753.33333333331</v>
      </c>
      <c r="M22" s="13">
        <f t="shared" si="2"/>
        <v>528953.33333333337</v>
      </c>
      <c r="N22" s="13">
        <f t="shared" si="2"/>
        <v>5464240</v>
      </c>
    </row>
    <row r="25" spans="1:14" x14ac:dyDescent="0.35">
      <c r="A25" s="3" t="s">
        <v>10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82</v>
      </c>
    </row>
    <row r="26" spans="1:14" ht="29" x14ac:dyDescent="0.35">
      <c r="A26" s="6" t="s">
        <v>37</v>
      </c>
      <c r="B26" s="9">
        <f>(assumptions!$C$24*assumptions!$C$14)/12</f>
        <v>880650</v>
      </c>
      <c r="C26" s="9">
        <f>(assumptions!$C$24*assumptions!$C$14)/12</f>
        <v>880650</v>
      </c>
      <c r="D26" s="9">
        <f>(assumptions!$C$24*assumptions!$C$14)/12</f>
        <v>880650</v>
      </c>
      <c r="E26" s="9">
        <f>(assumptions!$C$24*assumptions!$C$14)/12</f>
        <v>880650</v>
      </c>
      <c r="F26" s="9">
        <f>(assumptions!$C$24*assumptions!$C$14)/12</f>
        <v>880650</v>
      </c>
      <c r="G26" s="9">
        <f>(assumptions!$C$24*assumptions!$C$14)/12</f>
        <v>880650</v>
      </c>
      <c r="H26" s="9">
        <f>(assumptions!$C$24*assumptions!$C$14)/12</f>
        <v>880650</v>
      </c>
      <c r="I26" s="9">
        <f>(assumptions!$C$24*assumptions!$C$14)/12</f>
        <v>880650</v>
      </c>
      <c r="J26" s="9">
        <f>(assumptions!$C$24*assumptions!$C$14)/12</f>
        <v>880650</v>
      </c>
      <c r="K26" s="9">
        <f>(assumptions!$C$24*assumptions!$C$14)/12</f>
        <v>880650</v>
      </c>
      <c r="L26" s="9">
        <f>(assumptions!$C$24*assumptions!$C$14)/12</f>
        <v>880650</v>
      </c>
      <c r="M26" s="9">
        <f>(assumptions!$C$24*assumptions!$C$14)/12</f>
        <v>880650</v>
      </c>
      <c r="N26" s="8">
        <f>SUM(B26:M26)</f>
        <v>10567800</v>
      </c>
    </row>
    <row r="27" spans="1:14" ht="29" x14ac:dyDescent="0.35">
      <c r="A27" s="6" t="s">
        <v>38</v>
      </c>
      <c r="B27" s="9">
        <f>assumptions!$C$33*B26</f>
        <v>176130</v>
      </c>
      <c r="C27" s="9">
        <f>assumptions!$C$33*C26</f>
        <v>176130</v>
      </c>
      <c r="D27" s="9">
        <f>assumptions!$C$33*D26</f>
        <v>176130</v>
      </c>
      <c r="E27" s="9">
        <f>assumptions!$C$33*E26</f>
        <v>176130</v>
      </c>
      <c r="F27" s="9">
        <f>assumptions!$C$33*F26</f>
        <v>176130</v>
      </c>
      <c r="G27" s="9">
        <f>assumptions!$C$33*G26</f>
        <v>176130</v>
      </c>
      <c r="H27" s="9">
        <f>assumptions!$C$33*H26</f>
        <v>176130</v>
      </c>
      <c r="I27" s="9">
        <f>assumptions!$C$33*I26</f>
        <v>176130</v>
      </c>
      <c r="J27" s="9">
        <f>assumptions!$C$33*J26</f>
        <v>176130</v>
      </c>
      <c r="K27" s="9">
        <f>assumptions!$C$33*K26</f>
        <v>176130</v>
      </c>
      <c r="L27" s="9">
        <f>assumptions!$C$33*L26</f>
        <v>176130</v>
      </c>
      <c r="M27" s="9">
        <f>assumptions!$C$33*M26</f>
        <v>176130</v>
      </c>
      <c r="N27" s="8">
        <f t="shared" ref="N27:N29" si="3">SUM(B27:M27)</f>
        <v>2113560</v>
      </c>
    </row>
    <row r="28" spans="1:14" ht="29" x14ac:dyDescent="0.35">
      <c r="A28" s="6" t="s">
        <v>52</v>
      </c>
      <c r="B28" s="13">
        <f>assumptions!$C$46*B4</f>
        <v>128800.00000000001</v>
      </c>
      <c r="C28" s="13">
        <f>assumptions!$C$46*C4</f>
        <v>128800.00000000001</v>
      </c>
      <c r="D28" s="13">
        <f>assumptions!$C$46*D4</f>
        <v>147200</v>
      </c>
      <c r="E28" s="13">
        <f>assumptions!$C$46*E4</f>
        <v>147200</v>
      </c>
      <c r="F28" s="13">
        <f>assumptions!$C$46*F4</f>
        <v>147200</v>
      </c>
      <c r="G28" s="13">
        <f>assumptions!$C$46*G4</f>
        <v>147200</v>
      </c>
      <c r="H28" s="13">
        <f>assumptions!$C$46*H4</f>
        <v>147200</v>
      </c>
      <c r="I28" s="13">
        <f>assumptions!$C$46*I4</f>
        <v>147200</v>
      </c>
      <c r="J28" s="13">
        <f>assumptions!$C$46*J4</f>
        <v>165600</v>
      </c>
      <c r="K28" s="13">
        <f>assumptions!$C$46*K4</f>
        <v>165600</v>
      </c>
      <c r="L28" s="13">
        <f>assumptions!$C$46*L4</f>
        <v>165600</v>
      </c>
      <c r="M28" s="13">
        <f>assumptions!$C$46*M4</f>
        <v>202400</v>
      </c>
      <c r="N28" s="8">
        <f t="shared" si="3"/>
        <v>1840000</v>
      </c>
    </row>
    <row r="29" spans="1:14" ht="29" x14ac:dyDescent="0.35">
      <c r="A29" s="6" t="s">
        <v>40</v>
      </c>
      <c r="B29" s="13">
        <f>(assumptions!$C$14*assumptions!$C$41)/12</f>
        <v>19000</v>
      </c>
      <c r="C29" s="13">
        <f>(assumptions!$C$14*assumptions!$C$41)/12</f>
        <v>19000</v>
      </c>
      <c r="D29" s="13">
        <f>(assumptions!$C$14*assumptions!$C$41)/12</f>
        <v>19000</v>
      </c>
      <c r="E29" s="13">
        <f>(assumptions!$C$14*assumptions!$C$41)/12</f>
        <v>19000</v>
      </c>
      <c r="F29" s="13">
        <f>(assumptions!$C$14*assumptions!$C$41)/12</f>
        <v>19000</v>
      </c>
      <c r="G29" s="13">
        <f>(assumptions!$C$14*assumptions!$C$41)/12</f>
        <v>19000</v>
      </c>
      <c r="H29" s="13">
        <f>(assumptions!$C$14*assumptions!$C$41)/12</f>
        <v>19000</v>
      </c>
      <c r="I29" s="13">
        <f>(assumptions!$C$14*assumptions!$C$41)/12</f>
        <v>19000</v>
      </c>
      <c r="J29" s="13">
        <f>(assumptions!$C$14*assumptions!$C$41)/12</f>
        <v>19000</v>
      </c>
      <c r="K29" s="13">
        <f>(assumptions!$C$14*assumptions!$C$41)/12</f>
        <v>19000</v>
      </c>
      <c r="L29" s="13">
        <f>(assumptions!$C$14*assumptions!$C$41)/12</f>
        <v>19000</v>
      </c>
      <c r="M29" s="13">
        <f>(assumptions!$C$14*assumptions!$C$41)/12</f>
        <v>19000</v>
      </c>
      <c r="N29" s="8">
        <f t="shared" si="3"/>
        <v>228000</v>
      </c>
    </row>
    <row r="30" spans="1:14" ht="43.5" x14ac:dyDescent="0.35">
      <c r="A30" s="7" t="s">
        <v>53</v>
      </c>
      <c r="B30" s="9">
        <f>SUM(B26:B29)</f>
        <v>1204580</v>
      </c>
      <c r="C30" s="9">
        <f t="shared" ref="C30:N30" si="4">SUM(C26:C29)</f>
        <v>1204580</v>
      </c>
      <c r="D30" s="9">
        <f t="shared" si="4"/>
        <v>1222980</v>
      </c>
      <c r="E30" s="9">
        <f t="shared" si="4"/>
        <v>1222980</v>
      </c>
      <c r="F30" s="9">
        <f t="shared" si="4"/>
        <v>1222980</v>
      </c>
      <c r="G30" s="9">
        <f t="shared" si="4"/>
        <v>1222980</v>
      </c>
      <c r="H30" s="9">
        <f t="shared" si="4"/>
        <v>1222980</v>
      </c>
      <c r="I30" s="9">
        <f t="shared" si="4"/>
        <v>1222980</v>
      </c>
      <c r="J30" s="9">
        <f t="shared" si="4"/>
        <v>1241380</v>
      </c>
      <c r="K30" s="9">
        <f t="shared" si="4"/>
        <v>1241380</v>
      </c>
      <c r="L30" s="9">
        <f t="shared" si="4"/>
        <v>1241380</v>
      </c>
      <c r="M30" s="9">
        <f t="shared" si="4"/>
        <v>1278180</v>
      </c>
      <c r="N30" s="9">
        <f t="shared" si="4"/>
        <v>14749360</v>
      </c>
    </row>
    <row r="33" spans="1:14" x14ac:dyDescent="0.35">
      <c r="A33" s="3" t="s">
        <v>14</v>
      </c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29</v>
      </c>
      <c r="I33" s="5" t="s">
        <v>30</v>
      </c>
      <c r="J33" s="5" t="s">
        <v>31</v>
      </c>
      <c r="K33" s="5" t="s">
        <v>32</v>
      </c>
      <c r="L33" s="5" t="s">
        <v>33</v>
      </c>
      <c r="M33" s="5" t="s">
        <v>34</v>
      </c>
      <c r="N33" s="5" t="s">
        <v>82</v>
      </c>
    </row>
    <row r="34" spans="1:14" ht="29" x14ac:dyDescent="0.35">
      <c r="A34" s="6" t="s">
        <v>37</v>
      </c>
      <c r="B34" s="9">
        <f>(assumptions!$C$18*assumptions!$C$28)/12</f>
        <v>182395.83333333334</v>
      </c>
      <c r="C34" s="9">
        <f>(assumptions!$C$18*assumptions!$C$28)/12</f>
        <v>182395.83333333334</v>
      </c>
      <c r="D34" s="9">
        <f>(assumptions!$C$18*assumptions!$C$28)/12</f>
        <v>182395.83333333334</v>
      </c>
      <c r="E34" s="9">
        <f>(assumptions!$C$18*assumptions!$C$28)/12</f>
        <v>182395.83333333334</v>
      </c>
      <c r="F34" s="9">
        <f>(assumptions!$C$18*assumptions!$C$28)/12</f>
        <v>182395.83333333334</v>
      </c>
      <c r="G34" s="9">
        <f>(assumptions!$C$18*assumptions!$C$28)/12</f>
        <v>182395.83333333334</v>
      </c>
      <c r="H34" s="9">
        <f>(assumptions!$C$18*assumptions!$C$28)/12</f>
        <v>182395.83333333334</v>
      </c>
      <c r="I34" s="9">
        <f>(assumptions!$C$18*assumptions!$C$28)/12</f>
        <v>182395.83333333334</v>
      </c>
      <c r="J34" s="9">
        <f>(assumptions!$C$18*assumptions!$C$28)/12</f>
        <v>182395.83333333334</v>
      </c>
      <c r="K34" s="9">
        <f>(assumptions!$C$18*assumptions!$C$28)/12</f>
        <v>182395.83333333334</v>
      </c>
      <c r="L34" s="9">
        <f>(assumptions!$C$18*assumptions!$C$28)/12</f>
        <v>182395.83333333334</v>
      </c>
      <c r="M34" s="9">
        <f>(assumptions!$C$18*assumptions!$C$28)/12</f>
        <v>182395.83333333334</v>
      </c>
      <c r="N34" s="8">
        <f>SUM(B34:M34)</f>
        <v>2188749.9999999995</v>
      </c>
    </row>
    <row r="35" spans="1:14" ht="29" x14ac:dyDescent="0.35">
      <c r="A35" s="6" t="s">
        <v>38</v>
      </c>
      <c r="B35" s="9">
        <f>B34*assumptions!$C$33</f>
        <v>36479.166666666672</v>
      </c>
      <c r="C35" s="9">
        <f>C34*assumptions!$C$33</f>
        <v>36479.166666666672</v>
      </c>
      <c r="D35" s="9">
        <f>D34*assumptions!$C$33</f>
        <v>36479.166666666672</v>
      </c>
      <c r="E35" s="9">
        <f>E34*assumptions!$C$33</f>
        <v>36479.166666666672</v>
      </c>
      <c r="F35" s="9">
        <f>F34*assumptions!$C$33</f>
        <v>36479.166666666672</v>
      </c>
      <c r="G35" s="9">
        <f>G34*assumptions!$C$33</f>
        <v>36479.166666666672</v>
      </c>
      <c r="H35" s="9">
        <f>H34*assumptions!$C$33</f>
        <v>36479.166666666672</v>
      </c>
      <c r="I35" s="9">
        <f>I34*assumptions!$C$33</f>
        <v>36479.166666666672</v>
      </c>
      <c r="J35" s="9">
        <f>J34*assumptions!$C$33</f>
        <v>36479.166666666672</v>
      </c>
      <c r="K35" s="9">
        <f>K34*assumptions!$C$33</f>
        <v>36479.166666666672</v>
      </c>
      <c r="L35" s="9">
        <f>L34*assumptions!$C$33</f>
        <v>36479.166666666672</v>
      </c>
      <c r="M35" s="9">
        <f>M34*assumptions!$C$33</f>
        <v>36479.166666666672</v>
      </c>
      <c r="N35" s="8">
        <f t="shared" ref="N35:N37" si="5">SUM(B35:M35)</f>
        <v>437750.00000000017</v>
      </c>
    </row>
    <row r="36" spans="1:14" ht="29" x14ac:dyDescent="0.35">
      <c r="A36" s="6" t="s">
        <v>40</v>
      </c>
      <c r="B36" s="9">
        <f>(assumptions!$C$18*assumptions!$C$41)/12</f>
        <v>4250</v>
      </c>
      <c r="C36" s="9">
        <f>(assumptions!$C$18*assumptions!$C$41)/12</f>
        <v>4250</v>
      </c>
      <c r="D36" s="9">
        <f>(assumptions!$C$18*assumptions!$C$41)/12</f>
        <v>4250</v>
      </c>
      <c r="E36" s="9">
        <f>(assumptions!$C$18*assumptions!$C$41)/12</f>
        <v>4250</v>
      </c>
      <c r="F36" s="9">
        <f>(assumptions!$C$18*assumptions!$C$41)/12</f>
        <v>4250</v>
      </c>
      <c r="G36" s="9">
        <f>(assumptions!$C$18*assumptions!$C$41)/12</f>
        <v>4250</v>
      </c>
      <c r="H36" s="9">
        <f>(assumptions!$C$18*assumptions!$C$41)/12</f>
        <v>4250</v>
      </c>
      <c r="I36" s="9">
        <f>(assumptions!$C$18*assumptions!$C$41)/12</f>
        <v>4250</v>
      </c>
      <c r="J36" s="9">
        <f>(assumptions!$C$18*assumptions!$C$41)/12</f>
        <v>4250</v>
      </c>
      <c r="K36" s="9">
        <f>(assumptions!$C$18*assumptions!$C$41)/12</f>
        <v>4250</v>
      </c>
      <c r="L36" s="9">
        <f>(assumptions!$C$18*assumptions!$C$41)/12</f>
        <v>4250</v>
      </c>
      <c r="M36" s="9">
        <f>(assumptions!$C$18*assumptions!$C$41)/12</f>
        <v>4250</v>
      </c>
      <c r="N36" s="8">
        <f t="shared" si="5"/>
        <v>51000</v>
      </c>
    </row>
    <row r="37" spans="1:14" ht="29" x14ac:dyDescent="0.35">
      <c r="A37" s="6" t="s">
        <v>36</v>
      </c>
      <c r="B37" s="13">
        <f>assumptions!$C$47/12</f>
        <v>25000</v>
      </c>
      <c r="C37" s="13">
        <f>assumptions!$C$47/12</f>
        <v>25000</v>
      </c>
      <c r="D37" s="13">
        <f>assumptions!$C$47/12</f>
        <v>25000</v>
      </c>
      <c r="E37" s="13">
        <f>assumptions!$C$47/12</f>
        <v>25000</v>
      </c>
      <c r="F37" s="13">
        <f>assumptions!$C$47/12</f>
        <v>25000</v>
      </c>
      <c r="G37" s="13">
        <f>assumptions!$C$47/12</f>
        <v>25000</v>
      </c>
      <c r="H37" s="13">
        <f>assumptions!$C$47/12</f>
        <v>25000</v>
      </c>
      <c r="I37" s="13">
        <f>assumptions!$C$47/12</f>
        <v>25000</v>
      </c>
      <c r="J37" s="13">
        <f>assumptions!$C$47/12</f>
        <v>25000</v>
      </c>
      <c r="K37" s="13">
        <f>assumptions!$C$47/12</f>
        <v>25000</v>
      </c>
      <c r="L37" s="13">
        <f>assumptions!$C$47/12</f>
        <v>25000</v>
      </c>
      <c r="M37" s="13">
        <f>assumptions!$C$47/12</f>
        <v>25000</v>
      </c>
      <c r="N37" s="8">
        <f t="shared" si="5"/>
        <v>300000</v>
      </c>
    </row>
    <row r="38" spans="1:14" ht="29" x14ac:dyDescent="0.35">
      <c r="A38" s="7" t="s">
        <v>54</v>
      </c>
      <c r="B38" s="9">
        <f>SUM(B34:B37)</f>
        <v>248125</v>
      </c>
      <c r="C38" s="9">
        <f t="shared" ref="C38:N38" si="6">SUM(C34:C37)</f>
        <v>248125</v>
      </c>
      <c r="D38" s="9">
        <f t="shared" si="6"/>
        <v>248125</v>
      </c>
      <c r="E38" s="9">
        <f t="shared" si="6"/>
        <v>248125</v>
      </c>
      <c r="F38" s="9">
        <f t="shared" si="6"/>
        <v>248125</v>
      </c>
      <c r="G38" s="9">
        <f t="shared" si="6"/>
        <v>248125</v>
      </c>
      <c r="H38" s="9">
        <f t="shared" si="6"/>
        <v>248125</v>
      </c>
      <c r="I38" s="9">
        <f t="shared" si="6"/>
        <v>248125</v>
      </c>
      <c r="J38" s="9">
        <f t="shared" si="6"/>
        <v>248125</v>
      </c>
      <c r="K38" s="9">
        <f t="shared" si="6"/>
        <v>248125</v>
      </c>
      <c r="L38" s="9">
        <f t="shared" si="6"/>
        <v>248125</v>
      </c>
      <c r="M38" s="9">
        <f t="shared" si="6"/>
        <v>248125</v>
      </c>
      <c r="N38" s="9">
        <f t="shared" si="6"/>
        <v>2977499.9999999995</v>
      </c>
    </row>
    <row r="41" spans="1:14" ht="29" x14ac:dyDescent="0.35">
      <c r="A41" s="3" t="s">
        <v>12</v>
      </c>
      <c r="B41" s="5" t="s">
        <v>23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29</v>
      </c>
      <c r="I41" s="5" t="s">
        <v>30</v>
      </c>
      <c r="J41" s="5" t="s">
        <v>31</v>
      </c>
      <c r="K41" s="5" t="s">
        <v>32</v>
      </c>
      <c r="L41" s="5" t="s">
        <v>33</v>
      </c>
      <c r="M41" s="5" t="s">
        <v>34</v>
      </c>
      <c r="N41" s="5" t="s">
        <v>82</v>
      </c>
    </row>
    <row r="42" spans="1:14" ht="29" x14ac:dyDescent="0.35">
      <c r="A42" s="6" t="s">
        <v>37</v>
      </c>
      <c r="B42" s="9">
        <f>(assumptions!$C$26*assumptions!$C$16)/12</f>
        <v>240762.5</v>
      </c>
      <c r="C42" s="9">
        <f>(assumptions!$C$26*assumptions!$C$16)/12</f>
        <v>240762.5</v>
      </c>
      <c r="D42" s="9">
        <f>(assumptions!$C$26*assumptions!$C$16)/12</f>
        <v>240762.5</v>
      </c>
      <c r="E42" s="9">
        <f>(assumptions!$C$26*assumptions!$C$16)/12</f>
        <v>240762.5</v>
      </c>
      <c r="F42" s="9">
        <f>(assumptions!$C$26*assumptions!$C$16)/12</f>
        <v>240762.5</v>
      </c>
      <c r="G42" s="9">
        <f>(assumptions!$C$26*assumptions!$C$16)/12</f>
        <v>240762.5</v>
      </c>
      <c r="H42" s="9">
        <f>(assumptions!$C$26*assumptions!$C$16)/12</f>
        <v>240762.5</v>
      </c>
      <c r="I42" s="9">
        <f>(assumptions!$C$26*assumptions!$C$16)/12</f>
        <v>240762.5</v>
      </c>
      <c r="J42" s="9">
        <f>(assumptions!$C$26*assumptions!$C$16)/12</f>
        <v>240762.5</v>
      </c>
      <c r="K42" s="9">
        <f>(assumptions!$C$26*assumptions!$C$16)/12</f>
        <v>240762.5</v>
      </c>
      <c r="L42" s="9">
        <f>(assumptions!$C$26*assumptions!$C$16)/12</f>
        <v>240762.5</v>
      </c>
      <c r="M42" s="9">
        <f>(assumptions!$C$26*assumptions!$C$16)/12</f>
        <v>240762.5</v>
      </c>
      <c r="N42" s="8">
        <f>SUM(B42:M42)</f>
        <v>2889150</v>
      </c>
    </row>
    <row r="43" spans="1:14" ht="29" x14ac:dyDescent="0.35">
      <c r="A43" s="6" t="s">
        <v>38</v>
      </c>
      <c r="B43" s="9">
        <f>B42*assumptions!$C$33</f>
        <v>48152.5</v>
      </c>
      <c r="C43" s="9">
        <f>C42*assumptions!$C$33</f>
        <v>48152.5</v>
      </c>
      <c r="D43" s="9">
        <f>D42*assumptions!$C$33</f>
        <v>48152.5</v>
      </c>
      <c r="E43" s="9">
        <f>E42*assumptions!$C$33</f>
        <v>48152.5</v>
      </c>
      <c r="F43" s="9">
        <f>F42*assumptions!$C$33</f>
        <v>48152.5</v>
      </c>
      <c r="G43" s="9">
        <f>G42*assumptions!$C$33</f>
        <v>48152.5</v>
      </c>
      <c r="H43" s="9">
        <f>H42*assumptions!$C$33</f>
        <v>48152.5</v>
      </c>
      <c r="I43" s="9">
        <f>I42*assumptions!$C$33</f>
        <v>48152.5</v>
      </c>
      <c r="J43" s="9">
        <f>J42*assumptions!$C$33</f>
        <v>48152.5</v>
      </c>
      <c r="K43" s="9">
        <f>K42*assumptions!$C$33</f>
        <v>48152.5</v>
      </c>
      <c r="L43" s="9">
        <f>L42*assumptions!$C$33</f>
        <v>48152.5</v>
      </c>
      <c r="M43" s="9">
        <f>M42*assumptions!$C$33</f>
        <v>48152.5</v>
      </c>
      <c r="N43" s="8">
        <f t="shared" ref="N43:N46" si="7">SUM(B43:M43)</f>
        <v>577830</v>
      </c>
    </row>
    <row r="44" spans="1:14" ht="29" x14ac:dyDescent="0.35">
      <c r="A44" s="6" t="s">
        <v>40</v>
      </c>
      <c r="B44" s="13">
        <f>(assumptions!$C$16*assumptions!$C$41)/12</f>
        <v>8250</v>
      </c>
      <c r="C44" s="13">
        <f>(assumptions!$C$16*assumptions!$C$41)/12</f>
        <v>8250</v>
      </c>
      <c r="D44" s="13">
        <f>(assumptions!$C$16*assumptions!$C$41)/12</f>
        <v>8250</v>
      </c>
      <c r="E44" s="13">
        <f>(assumptions!$C$16*assumptions!$C$41)/12</f>
        <v>8250</v>
      </c>
      <c r="F44" s="13">
        <f>(assumptions!$C$16*assumptions!$C$41)/12</f>
        <v>8250</v>
      </c>
      <c r="G44" s="13">
        <f>(assumptions!$C$16*assumptions!$C$41)/12</f>
        <v>8250</v>
      </c>
      <c r="H44" s="13">
        <f>(assumptions!$C$16*assumptions!$C$41)/12</f>
        <v>8250</v>
      </c>
      <c r="I44" s="13">
        <f>(assumptions!$C$16*assumptions!$C$41)/12</f>
        <v>8250</v>
      </c>
      <c r="J44" s="13">
        <f>(assumptions!$C$16*assumptions!$C$41)/12</f>
        <v>8250</v>
      </c>
      <c r="K44" s="13">
        <f>(assumptions!$C$16*assumptions!$C$41)/12</f>
        <v>8250</v>
      </c>
      <c r="L44" s="13">
        <f>(assumptions!$C$16*assumptions!$C$41)/12</f>
        <v>8250</v>
      </c>
      <c r="M44" s="13">
        <f>(assumptions!$C$16*assumptions!$C$41)/12</f>
        <v>8250</v>
      </c>
      <c r="N44" s="8">
        <f t="shared" si="7"/>
        <v>99000</v>
      </c>
    </row>
    <row r="45" spans="1:14" ht="29" x14ac:dyDescent="0.35">
      <c r="A45" s="6" t="s">
        <v>41</v>
      </c>
      <c r="B45" s="9">
        <f>(assumptions!$C$43*assumptions!$C$16)/12</f>
        <v>5500</v>
      </c>
      <c r="C45" s="9">
        <f>(assumptions!$C$43*assumptions!$C$16)/12</f>
        <v>5500</v>
      </c>
      <c r="D45" s="9">
        <f>(assumptions!$C$43*assumptions!$C$16)/12</f>
        <v>5500</v>
      </c>
      <c r="E45" s="9">
        <f>(assumptions!$C$43*assumptions!$C$16)/12</f>
        <v>5500</v>
      </c>
      <c r="F45" s="9">
        <f>(assumptions!$C$43*assumptions!$C$16)/12</f>
        <v>5500</v>
      </c>
      <c r="G45" s="9">
        <f>(assumptions!$C$43*assumptions!$C$16)/12</f>
        <v>5500</v>
      </c>
      <c r="H45" s="9">
        <f>(assumptions!$C$43*assumptions!$C$16)/12</f>
        <v>5500</v>
      </c>
      <c r="I45" s="9">
        <f>(assumptions!$C$43*assumptions!$C$16)/12</f>
        <v>5500</v>
      </c>
      <c r="J45" s="9">
        <f>(assumptions!$C$43*assumptions!$C$16)/12</f>
        <v>5500</v>
      </c>
      <c r="K45" s="9">
        <f>(assumptions!$C$43*assumptions!$C$16)/12</f>
        <v>5500</v>
      </c>
      <c r="L45" s="9">
        <f>(assumptions!$C$43*assumptions!$C$16)/12</f>
        <v>5500</v>
      </c>
      <c r="M45" s="9">
        <f>(assumptions!$C$43*assumptions!$C$16)/12</f>
        <v>5500</v>
      </c>
      <c r="N45" s="8">
        <f t="shared" si="7"/>
        <v>66000</v>
      </c>
    </row>
    <row r="46" spans="1:14" ht="58" x14ac:dyDescent="0.35">
      <c r="A46" s="7" t="s">
        <v>55</v>
      </c>
      <c r="B46" s="9">
        <f>SUM(B42:B45)</f>
        <v>302665</v>
      </c>
      <c r="C46" s="9">
        <f t="shared" ref="C46:M46" si="8">SUM(C42:C45)</f>
        <v>302665</v>
      </c>
      <c r="D46" s="9">
        <f t="shared" si="8"/>
        <v>302665</v>
      </c>
      <c r="E46" s="9">
        <f t="shared" si="8"/>
        <v>302665</v>
      </c>
      <c r="F46" s="9">
        <f t="shared" si="8"/>
        <v>302665</v>
      </c>
      <c r="G46" s="9">
        <f t="shared" si="8"/>
        <v>302665</v>
      </c>
      <c r="H46" s="9">
        <f t="shared" si="8"/>
        <v>302665</v>
      </c>
      <c r="I46" s="9">
        <f t="shared" si="8"/>
        <v>302665</v>
      </c>
      <c r="J46" s="9">
        <f t="shared" si="8"/>
        <v>302665</v>
      </c>
      <c r="K46" s="9">
        <f t="shared" si="8"/>
        <v>302665</v>
      </c>
      <c r="L46" s="9">
        <f t="shared" si="8"/>
        <v>302665</v>
      </c>
      <c r="M46" s="9">
        <f t="shared" si="8"/>
        <v>302665</v>
      </c>
      <c r="N46" s="8">
        <f t="shared" si="7"/>
        <v>3631980</v>
      </c>
    </row>
    <row r="49" spans="1:14" x14ac:dyDescent="0.35">
      <c r="A49" s="3" t="s">
        <v>15</v>
      </c>
      <c r="B49" s="5" t="s">
        <v>23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29</v>
      </c>
      <c r="I49" s="5" t="s">
        <v>30</v>
      </c>
      <c r="J49" s="5" t="s">
        <v>31</v>
      </c>
      <c r="K49" s="5" t="s">
        <v>32</v>
      </c>
      <c r="L49" s="5" t="s">
        <v>33</v>
      </c>
      <c r="M49" s="5" t="s">
        <v>34</v>
      </c>
      <c r="N49" s="5" t="s">
        <v>82</v>
      </c>
    </row>
    <row r="50" spans="1:14" ht="29" x14ac:dyDescent="0.35">
      <c r="A50" s="6" t="s">
        <v>37</v>
      </c>
      <c r="B50" s="9">
        <f>(assumptions!$C$19*assumptions!$C$29)/12</f>
        <v>234325</v>
      </c>
      <c r="C50" s="9">
        <f>(assumptions!$C$19*assumptions!$C$29)/12</f>
        <v>234325</v>
      </c>
      <c r="D50" s="9">
        <f>(assumptions!$C$19*assumptions!$C$29)/12</f>
        <v>234325</v>
      </c>
      <c r="E50" s="9">
        <f>(assumptions!$C$19*assumptions!$C$29)/12</f>
        <v>234325</v>
      </c>
      <c r="F50" s="9">
        <f>(assumptions!$C$19*assumptions!$C$29)/12</f>
        <v>234325</v>
      </c>
      <c r="G50" s="9">
        <f>(assumptions!$C$19*assumptions!$C$29)/12</f>
        <v>234325</v>
      </c>
      <c r="H50" s="9">
        <f>(assumptions!$C$19*assumptions!$C$29)/12</f>
        <v>234325</v>
      </c>
      <c r="I50" s="9">
        <f>(assumptions!$C$19*assumptions!$C$29)/12</f>
        <v>234325</v>
      </c>
      <c r="J50" s="9">
        <f>(assumptions!$C$19*assumptions!$C$29)/12</f>
        <v>234325</v>
      </c>
      <c r="K50" s="9">
        <f>(assumptions!$C$19*assumptions!$C$29)/12</f>
        <v>234325</v>
      </c>
      <c r="L50" s="9">
        <f>(assumptions!$C$19*assumptions!$C$29)/12</f>
        <v>234325</v>
      </c>
      <c r="M50" s="9">
        <f>(assumptions!$C$19*assumptions!$C$29)/12</f>
        <v>234325</v>
      </c>
      <c r="N50" s="9">
        <f>SUM(B50:M50)</f>
        <v>2811900</v>
      </c>
    </row>
    <row r="51" spans="1:14" ht="29" x14ac:dyDescent="0.35">
      <c r="A51" s="6" t="s">
        <v>38</v>
      </c>
      <c r="B51" s="9">
        <f>B50*assumptions!$C$33</f>
        <v>46865</v>
      </c>
      <c r="C51" s="9">
        <f>C50*assumptions!$C$33</f>
        <v>46865</v>
      </c>
      <c r="D51" s="9">
        <f>D50*assumptions!$C$33</f>
        <v>46865</v>
      </c>
      <c r="E51" s="9">
        <f>E50*assumptions!$C$33</f>
        <v>46865</v>
      </c>
      <c r="F51" s="9">
        <f>F50*assumptions!$C$33</f>
        <v>46865</v>
      </c>
      <c r="G51" s="9">
        <f>G50*assumptions!$C$33</f>
        <v>46865</v>
      </c>
      <c r="H51" s="9">
        <f>H50*assumptions!$C$33</f>
        <v>46865</v>
      </c>
      <c r="I51" s="9">
        <f>I50*assumptions!$C$33</f>
        <v>46865</v>
      </c>
      <c r="J51" s="9">
        <f>J50*assumptions!$C$33</f>
        <v>46865</v>
      </c>
      <c r="K51" s="9">
        <f>K50*assumptions!$C$33</f>
        <v>46865</v>
      </c>
      <c r="L51" s="9">
        <f>L50*assumptions!$C$33</f>
        <v>46865</v>
      </c>
      <c r="M51" s="9">
        <f>M50*assumptions!$C$33</f>
        <v>46865</v>
      </c>
      <c r="N51" s="9">
        <f t="shared" ref="N51:N54" si="9">SUM(B51:M51)</f>
        <v>562380</v>
      </c>
    </row>
    <row r="52" spans="1:14" ht="29" x14ac:dyDescent="0.35">
      <c r="A52" s="6" t="s">
        <v>40</v>
      </c>
      <c r="B52" s="9">
        <f>(assumptions!$C$19*assumptions!$C$41)/12</f>
        <v>6500</v>
      </c>
      <c r="C52" s="9">
        <f>(assumptions!$C$19*assumptions!$C$41)/12</f>
        <v>6500</v>
      </c>
      <c r="D52" s="9">
        <f>(assumptions!$C$19*assumptions!$C$41)/12</f>
        <v>6500</v>
      </c>
      <c r="E52" s="9">
        <f>(assumptions!$C$19*assumptions!$C$41)/12</f>
        <v>6500</v>
      </c>
      <c r="F52" s="9">
        <f>(assumptions!$C$19*assumptions!$C$41)/12</f>
        <v>6500</v>
      </c>
      <c r="G52" s="9">
        <f>(assumptions!$C$19*assumptions!$C$41)/12</f>
        <v>6500</v>
      </c>
      <c r="H52" s="9">
        <f>(assumptions!$C$19*assumptions!$C$41)/12</f>
        <v>6500</v>
      </c>
      <c r="I52" s="9">
        <f>(assumptions!$C$19*assumptions!$C$41)/12</f>
        <v>6500</v>
      </c>
      <c r="J52" s="9">
        <f>(assumptions!$C$19*assumptions!$C$41)/12</f>
        <v>6500</v>
      </c>
      <c r="K52" s="9">
        <f>(assumptions!$C$19*assumptions!$C$41)/12</f>
        <v>6500</v>
      </c>
      <c r="L52" s="9">
        <f>(assumptions!$C$19*assumptions!$C$41)/12</f>
        <v>6500</v>
      </c>
      <c r="M52" s="9">
        <f>(assumptions!$C$19*assumptions!$C$41)/12</f>
        <v>6500</v>
      </c>
      <c r="N52" s="9">
        <f t="shared" si="9"/>
        <v>78000</v>
      </c>
    </row>
    <row r="53" spans="1:14" ht="43.5" x14ac:dyDescent="0.35">
      <c r="A53" s="6" t="s">
        <v>57</v>
      </c>
      <c r="B53" s="13">
        <f>assumptions!$C$48/12</f>
        <v>35416.666666666664</v>
      </c>
      <c r="C53" s="13">
        <f>assumptions!$C$48/12</f>
        <v>35416.666666666664</v>
      </c>
      <c r="D53" s="13">
        <f>assumptions!$C$48/12</f>
        <v>35416.666666666664</v>
      </c>
      <c r="E53" s="13">
        <f>assumptions!$C$48/12</f>
        <v>35416.666666666664</v>
      </c>
      <c r="F53" s="13">
        <f>assumptions!$C$48/12</f>
        <v>35416.666666666664</v>
      </c>
      <c r="G53" s="13">
        <f>assumptions!$C$48/12</f>
        <v>35416.666666666664</v>
      </c>
      <c r="H53" s="13">
        <f>assumptions!$C$48/12</f>
        <v>35416.666666666664</v>
      </c>
      <c r="I53" s="13">
        <f>assumptions!$C$48/12</f>
        <v>35416.666666666664</v>
      </c>
      <c r="J53" s="13">
        <f>assumptions!$C$48/12</f>
        <v>35416.666666666664</v>
      </c>
      <c r="K53" s="13">
        <f>assumptions!$C$48/12</f>
        <v>35416.666666666664</v>
      </c>
      <c r="L53" s="13">
        <f>assumptions!$C$48/12</f>
        <v>35416.666666666664</v>
      </c>
      <c r="M53" s="13">
        <f>assumptions!$C$48/12</f>
        <v>35416.666666666664</v>
      </c>
      <c r="N53" s="9">
        <f t="shared" si="9"/>
        <v>425000.00000000006</v>
      </c>
    </row>
    <row r="54" spans="1:14" ht="29" x14ac:dyDescent="0.35">
      <c r="A54" s="6" t="s">
        <v>58</v>
      </c>
      <c r="B54" s="9">
        <f>(assumptions!$C$49*assumptions!$C$19)/12</f>
        <v>13000</v>
      </c>
      <c r="C54" s="9">
        <f>(assumptions!$C$49*assumptions!$C$19)/12</f>
        <v>13000</v>
      </c>
      <c r="D54" s="9">
        <f>(assumptions!$C$49*assumptions!$C$19)/12</f>
        <v>13000</v>
      </c>
      <c r="E54" s="9">
        <f>(assumptions!$C$49*assumptions!$C$19)/12</f>
        <v>13000</v>
      </c>
      <c r="F54" s="9">
        <f>(assumptions!$C$49*assumptions!$C$19)/12</f>
        <v>13000</v>
      </c>
      <c r="G54" s="9">
        <f>(assumptions!$C$49*assumptions!$C$19)/12</f>
        <v>13000</v>
      </c>
      <c r="H54" s="9">
        <f>(assumptions!$C$49*assumptions!$C$19)/12</f>
        <v>13000</v>
      </c>
      <c r="I54" s="9">
        <f>(assumptions!$C$49*assumptions!$C$19)/12</f>
        <v>13000</v>
      </c>
      <c r="J54" s="9">
        <f>(assumptions!$C$49*assumptions!$C$19)/12</f>
        <v>13000</v>
      </c>
      <c r="K54" s="9">
        <f>(assumptions!$C$49*assumptions!$C$19)/12</f>
        <v>13000</v>
      </c>
      <c r="L54" s="9">
        <f>(assumptions!$C$49*assumptions!$C$19)/12</f>
        <v>13000</v>
      </c>
      <c r="M54" s="9">
        <f>(assumptions!$C$49*assumptions!$C$19)/12</f>
        <v>13000</v>
      </c>
      <c r="N54" s="9">
        <f t="shared" si="9"/>
        <v>156000</v>
      </c>
    </row>
    <row r="55" spans="1:14" ht="29" x14ac:dyDescent="0.35">
      <c r="A55" s="7" t="s">
        <v>59</v>
      </c>
      <c r="B55" s="9">
        <f>SUM(B50:B54)</f>
        <v>336106.66666666669</v>
      </c>
      <c r="C55" s="9">
        <f t="shared" ref="C55:M55" si="10">SUM(C50:C54)</f>
        <v>336106.66666666669</v>
      </c>
      <c r="D55" s="9">
        <f t="shared" si="10"/>
        <v>336106.66666666669</v>
      </c>
      <c r="E55" s="9">
        <f t="shared" si="10"/>
        <v>336106.66666666669</v>
      </c>
      <c r="F55" s="9">
        <f t="shared" si="10"/>
        <v>336106.66666666669</v>
      </c>
      <c r="G55" s="9">
        <f t="shared" si="10"/>
        <v>336106.66666666669</v>
      </c>
      <c r="H55" s="9">
        <f t="shared" si="10"/>
        <v>336106.66666666669</v>
      </c>
      <c r="I55" s="9">
        <f t="shared" si="10"/>
        <v>336106.66666666669</v>
      </c>
      <c r="J55" s="9">
        <f t="shared" si="10"/>
        <v>336106.66666666669</v>
      </c>
      <c r="K55" s="9">
        <f t="shared" si="10"/>
        <v>336106.66666666669</v>
      </c>
      <c r="L55" s="9">
        <f t="shared" si="10"/>
        <v>336106.66666666669</v>
      </c>
      <c r="M55" s="9">
        <f t="shared" si="10"/>
        <v>336106.66666666669</v>
      </c>
      <c r="N55" s="9">
        <f>SUM(B55:M55)</f>
        <v>4033279.9999999995</v>
      </c>
    </row>
    <row r="58" spans="1:14" ht="29" x14ac:dyDescent="0.35">
      <c r="A58" s="3" t="s">
        <v>83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29</v>
      </c>
      <c r="I58" s="5" t="s">
        <v>30</v>
      </c>
      <c r="J58" s="5" t="s">
        <v>31</v>
      </c>
      <c r="K58" s="5" t="s">
        <v>32</v>
      </c>
      <c r="L58" s="5" t="s">
        <v>33</v>
      </c>
      <c r="M58" s="5" t="s">
        <v>34</v>
      </c>
      <c r="N58" s="5" t="s">
        <v>82</v>
      </c>
    </row>
    <row r="59" spans="1:14" x14ac:dyDescent="0.35">
      <c r="A59" s="6" t="s">
        <v>6</v>
      </c>
      <c r="B59" s="13">
        <f>B4</f>
        <v>3220000.0000000005</v>
      </c>
      <c r="C59" s="13">
        <f t="shared" ref="C59:M59" si="11">C4</f>
        <v>3220000.0000000005</v>
      </c>
      <c r="D59" s="13">
        <f t="shared" si="11"/>
        <v>3680000</v>
      </c>
      <c r="E59" s="13">
        <f t="shared" si="11"/>
        <v>3680000</v>
      </c>
      <c r="F59" s="13">
        <f t="shared" si="11"/>
        <v>3680000</v>
      </c>
      <c r="G59" s="13">
        <f t="shared" si="11"/>
        <v>3680000</v>
      </c>
      <c r="H59" s="13">
        <f t="shared" si="11"/>
        <v>3680000</v>
      </c>
      <c r="I59" s="13">
        <f t="shared" si="11"/>
        <v>3680000</v>
      </c>
      <c r="J59" s="13">
        <f t="shared" si="11"/>
        <v>4140000</v>
      </c>
      <c r="K59" s="13">
        <f t="shared" si="11"/>
        <v>4140000</v>
      </c>
      <c r="L59" s="13">
        <f t="shared" si="11"/>
        <v>4140000</v>
      </c>
      <c r="M59" s="13">
        <f t="shared" si="11"/>
        <v>5060000</v>
      </c>
      <c r="N59" s="15">
        <f>SUM(B59:M59)</f>
        <v>46000000</v>
      </c>
    </row>
    <row r="60" spans="1:14" x14ac:dyDescent="0.35">
      <c r="A60" s="6"/>
      <c r="B60" s="4"/>
      <c r="C60" s="4"/>
      <c r="D60" s="4"/>
      <c r="E60" s="4"/>
      <c r="F60" s="4"/>
      <c r="N60" s="15"/>
    </row>
    <row r="61" spans="1:14" x14ac:dyDescent="0.35">
      <c r="A61" s="6" t="s">
        <v>64</v>
      </c>
      <c r="B61" s="13">
        <f>B13</f>
        <v>743483.33333333337</v>
      </c>
      <c r="C61" s="13">
        <f t="shared" ref="C61:M61" si="12">C13</f>
        <v>743483.33333333337</v>
      </c>
      <c r="D61" s="13">
        <f t="shared" si="12"/>
        <v>764183.33333333337</v>
      </c>
      <c r="E61" s="13">
        <f t="shared" si="12"/>
        <v>764183.33333333337</v>
      </c>
      <c r="F61" s="13">
        <f t="shared" si="12"/>
        <v>764183.33333333337</v>
      </c>
      <c r="G61" s="13">
        <f t="shared" si="12"/>
        <v>764183.33333333337</v>
      </c>
      <c r="H61" s="13">
        <f t="shared" si="12"/>
        <v>764183.33333333337</v>
      </c>
      <c r="I61" s="13">
        <f t="shared" si="12"/>
        <v>764183.33333333337</v>
      </c>
      <c r="J61" s="13">
        <f t="shared" si="12"/>
        <v>784883.33333333337</v>
      </c>
      <c r="K61" s="13">
        <f t="shared" si="12"/>
        <v>784883.33333333337</v>
      </c>
      <c r="L61" s="13">
        <f t="shared" si="12"/>
        <v>784883.33333333337</v>
      </c>
      <c r="M61" s="13">
        <f t="shared" si="12"/>
        <v>826283.33333333337</v>
      </c>
      <c r="N61" s="15">
        <f t="shared" ref="N61:N67" si="13">SUM(B61:M61)</f>
        <v>9253000</v>
      </c>
    </row>
    <row r="62" spans="1:14" ht="29" x14ac:dyDescent="0.35">
      <c r="A62" s="6" t="s">
        <v>65</v>
      </c>
      <c r="B62" s="13">
        <f>B22</f>
        <v>418553.33333333331</v>
      </c>
      <c r="C62" s="13">
        <f t="shared" ref="C62:M62" si="14">C22</f>
        <v>418553.33333333331</v>
      </c>
      <c r="D62" s="13">
        <f t="shared" si="14"/>
        <v>446153.33333333331</v>
      </c>
      <c r="E62" s="13">
        <f t="shared" si="14"/>
        <v>446153.33333333331</v>
      </c>
      <c r="F62" s="13">
        <f t="shared" si="14"/>
        <v>446153.33333333331</v>
      </c>
      <c r="G62" s="13">
        <f t="shared" si="14"/>
        <v>446153.33333333331</v>
      </c>
      <c r="H62" s="13">
        <f t="shared" si="14"/>
        <v>446153.33333333331</v>
      </c>
      <c r="I62" s="13">
        <f t="shared" si="14"/>
        <v>446153.33333333331</v>
      </c>
      <c r="J62" s="13">
        <f t="shared" si="14"/>
        <v>473753.33333333331</v>
      </c>
      <c r="K62" s="13">
        <f t="shared" si="14"/>
        <v>473753.33333333331</v>
      </c>
      <c r="L62" s="13">
        <f t="shared" si="14"/>
        <v>473753.33333333331</v>
      </c>
      <c r="M62" s="13">
        <f t="shared" si="14"/>
        <v>528953.33333333337</v>
      </c>
      <c r="N62" s="15">
        <f t="shared" si="13"/>
        <v>5464240</v>
      </c>
    </row>
    <row r="63" spans="1:14" ht="29" x14ac:dyDescent="0.35">
      <c r="A63" s="6" t="s">
        <v>66</v>
      </c>
      <c r="B63" s="9">
        <f>B30</f>
        <v>1204580</v>
      </c>
      <c r="C63" s="9">
        <f t="shared" ref="C63:M63" si="15">C30</f>
        <v>1204580</v>
      </c>
      <c r="D63" s="9">
        <f t="shared" si="15"/>
        <v>1222980</v>
      </c>
      <c r="E63" s="9">
        <f t="shared" si="15"/>
        <v>1222980</v>
      </c>
      <c r="F63" s="9">
        <f t="shared" si="15"/>
        <v>1222980</v>
      </c>
      <c r="G63" s="9">
        <f t="shared" si="15"/>
        <v>1222980</v>
      </c>
      <c r="H63" s="9">
        <f t="shared" si="15"/>
        <v>1222980</v>
      </c>
      <c r="I63" s="9">
        <f t="shared" si="15"/>
        <v>1222980</v>
      </c>
      <c r="J63" s="9">
        <f t="shared" si="15"/>
        <v>1241380</v>
      </c>
      <c r="K63" s="9">
        <f t="shared" si="15"/>
        <v>1241380</v>
      </c>
      <c r="L63" s="9">
        <f t="shared" si="15"/>
        <v>1241380</v>
      </c>
      <c r="M63" s="9">
        <f t="shared" si="15"/>
        <v>1278180</v>
      </c>
      <c r="N63" s="15">
        <f t="shared" si="13"/>
        <v>14749360</v>
      </c>
    </row>
    <row r="64" spans="1:14" ht="29" x14ac:dyDescent="0.35">
      <c r="A64" s="6" t="s">
        <v>67</v>
      </c>
      <c r="B64" s="9">
        <f>B38</f>
        <v>248125</v>
      </c>
      <c r="C64" s="9">
        <f t="shared" ref="C64:M64" si="16">C38</f>
        <v>248125</v>
      </c>
      <c r="D64" s="9">
        <f t="shared" si="16"/>
        <v>248125</v>
      </c>
      <c r="E64" s="9">
        <f t="shared" si="16"/>
        <v>248125</v>
      </c>
      <c r="F64" s="9">
        <f t="shared" si="16"/>
        <v>248125</v>
      </c>
      <c r="G64" s="9">
        <f t="shared" si="16"/>
        <v>248125</v>
      </c>
      <c r="H64" s="9">
        <f t="shared" si="16"/>
        <v>248125</v>
      </c>
      <c r="I64" s="9">
        <f t="shared" si="16"/>
        <v>248125</v>
      </c>
      <c r="J64" s="9">
        <f t="shared" si="16"/>
        <v>248125</v>
      </c>
      <c r="K64" s="9">
        <f t="shared" si="16"/>
        <v>248125</v>
      </c>
      <c r="L64" s="9">
        <f t="shared" si="16"/>
        <v>248125</v>
      </c>
      <c r="M64" s="9">
        <f t="shared" si="16"/>
        <v>248125</v>
      </c>
      <c r="N64" s="15">
        <f t="shared" si="13"/>
        <v>2977500</v>
      </c>
    </row>
    <row r="65" spans="1:14" ht="43.5" x14ac:dyDescent="0.35">
      <c r="A65" s="6" t="s">
        <v>68</v>
      </c>
      <c r="B65" s="9">
        <f>B46</f>
        <v>302665</v>
      </c>
      <c r="C65" s="9">
        <f t="shared" ref="C65:M65" si="17">C46</f>
        <v>302665</v>
      </c>
      <c r="D65" s="9">
        <f t="shared" si="17"/>
        <v>302665</v>
      </c>
      <c r="E65" s="9">
        <f t="shared" si="17"/>
        <v>302665</v>
      </c>
      <c r="F65" s="9">
        <f t="shared" si="17"/>
        <v>302665</v>
      </c>
      <c r="G65" s="9">
        <f t="shared" si="17"/>
        <v>302665</v>
      </c>
      <c r="H65" s="9">
        <f t="shared" si="17"/>
        <v>302665</v>
      </c>
      <c r="I65" s="9">
        <f t="shared" si="17"/>
        <v>302665</v>
      </c>
      <c r="J65" s="9">
        <f t="shared" si="17"/>
        <v>302665</v>
      </c>
      <c r="K65" s="9">
        <f t="shared" si="17"/>
        <v>302665</v>
      </c>
      <c r="L65" s="9">
        <f t="shared" si="17"/>
        <v>302665</v>
      </c>
      <c r="M65" s="9">
        <f t="shared" si="17"/>
        <v>302665</v>
      </c>
      <c r="N65" s="15">
        <f t="shared" si="13"/>
        <v>3631980</v>
      </c>
    </row>
    <row r="66" spans="1:14" x14ac:dyDescent="0.35">
      <c r="A66" s="6" t="s">
        <v>69</v>
      </c>
      <c r="B66" s="9">
        <f>B55</f>
        <v>336106.66666666669</v>
      </c>
      <c r="C66" s="9">
        <f t="shared" ref="C66:M66" si="18">C55</f>
        <v>336106.66666666669</v>
      </c>
      <c r="D66" s="9">
        <f t="shared" si="18"/>
        <v>336106.66666666669</v>
      </c>
      <c r="E66" s="9">
        <f t="shared" si="18"/>
        <v>336106.66666666669</v>
      </c>
      <c r="F66" s="9">
        <f t="shared" si="18"/>
        <v>336106.66666666669</v>
      </c>
      <c r="G66" s="9">
        <f t="shared" si="18"/>
        <v>336106.66666666669</v>
      </c>
      <c r="H66" s="9">
        <f t="shared" si="18"/>
        <v>336106.66666666669</v>
      </c>
      <c r="I66" s="9">
        <f t="shared" si="18"/>
        <v>336106.66666666669</v>
      </c>
      <c r="J66" s="9">
        <f t="shared" si="18"/>
        <v>336106.66666666669</v>
      </c>
      <c r="K66" s="9">
        <f t="shared" si="18"/>
        <v>336106.66666666669</v>
      </c>
      <c r="L66" s="9">
        <f t="shared" si="18"/>
        <v>336106.66666666669</v>
      </c>
      <c r="M66" s="9">
        <f t="shared" si="18"/>
        <v>336106.66666666669</v>
      </c>
      <c r="N66" s="15">
        <f t="shared" si="13"/>
        <v>4033279.9999999995</v>
      </c>
    </row>
    <row r="67" spans="1:14" ht="43.5" x14ac:dyDescent="0.35">
      <c r="A67" s="7" t="s">
        <v>70</v>
      </c>
      <c r="B67" s="13">
        <f>SUM(B61:B66)</f>
        <v>3253513.3333333335</v>
      </c>
      <c r="C67" s="13">
        <f t="shared" ref="C67:M67" si="19">SUM(C61:C66)</f>
        <v>3253513.3333333335</v>
      </c>
      <c r="D67" s="13">
        <f t="shared" si="19"/>
        <v>3320213.3333333335</v>
      </c>
      <c r="E67" s="13">
        <f t="shared" si="19"/>
        <v>3320213.3333333335</v>
      </c>
      <c r="F67" s="13">
        <f t="shared" si="19"/>
        <v>3320213.3333333335</v>
      </c>
      <c r="G67" s="13">
        <f t="shared" si="19"/>
        <v>3320213.3333333335</v>
      </c>
      <c r="H67" s="13">
        <f t="shared" si="19"/>
        <v>3320213.3333333335</v>
      </c>
      <c r="I67" s="13">
        <f t="shared" si="19"/>
        <v>3320213.3333333335</v>
      </c>
      <c r="J67" s="13">
        <f t="shared" si="19"/>
        <v>3386913.3333333335</v>
      </c>
      <c r="K67" s="13">
        <f t="shared" si="19"/>
        <v>3386913.3333333335</v>
      </c>
      <c r="L67" s="13">
        <f t="shared" si="19"/>
        <v>3386913.3333333335</v>
      </c>
      <c r="M67" s="13">
        <f t="shared" si="19"/>
        <v>3520313.3333333335</v>
      </c>
      <c r="N67" s="15">
        <f t="shared" si="13"/>
        <v>40109360</v>
      </c>
    </row>
    <row r="68" spans="1:14" x14ac:dyDescent="0.35">
      <c r="A68" s="6"/>
      <c r="B68" s="4"/>
      <c r="C68" s="4"/>
      <c r="D68" s="4"/>
      <c r="E68" s="4"/>
      <c r="F68" s="4"/>
    </row>
    <row r="69" spans="1:14" ht="29" x14ac:dyDescent="0.35">
      <c r="A69" s="7" t="s">
        <v>71</v>
      </c>
      <c r="B69" s="13">
        <f>B59-B67</f>
        <v>-33513.333333333023</v>
      </c>
      <c r="C69" s="13">
        <f t="shared" ref="C69:N69" si="20">C59-C67</f>
        <v>-33513.333333333023</v>
      </c>
      <c r="D69" s="13">
        <f t="shared" si="20"/>
        <v>359786.66666666651</v>
      </c>
      <c r="E69" s="13">
        <f t="shared" si="20"/>
        <v>359786.66666666651</v>
      </c>
      <c r="F69" s="13">
        <f t="shared" si="20"/>
        <v>359786.66666666651</v>
      </c>
      <c r="G69" s="13">
        <f t="shared" si="20"/>
        <v>359786.66666666651</v>
      </c>
      <c r="H69" s="13">
        <f t="shared" si="20"/>
        <v>359786.66666666651</v>
      </c>
      <c r="I69" s="13">
        <f t="shared" si="20"/>
        <v>359786.66666666651</v>
      </c>
      <c r="J69" s="13">
        <f t="shared" si="20"/>
        <v>753086.66666666651</v>
      </c>
      <c r="K69" s="13">
        <f t="shared" si="20"/>
        <v>753086.66666666651</v>
      </c>
      <c r="L69" s="13">
        <f t="shared" si="20"/>
        <v>753086.66666666651</v>
      </c>
      <c r="M69" s="13">
        <f t="shared" si="20"/>
        <v>1539686.6666666665</v>
      </c>
      <c r="N69" s="13">
        <f t="shared" si="20"/>
        <v>5890640</v>
      </c>
    </row>
    <row r="70" spans="1:14" ht="29" x14ac:dyDescent="0.35">
      <c r="A70" s="7" t="s">
        <v>72</v>
      </c>
      <c r="B70" s="10">
        <f>B69/B59</f>
        <v>-1.0407867494823919E-2</v>
      </c>
      <c r="C70" s="10">
        <f t="shared" ref="C70:N70" si="21">C69/C59</f>
        <v>-1.0407867494823919E-2</v>
      </c>
      <c r="D70" s="10">
        <f t="shared" si="21"/>
        <v>9.7768115942028944E-2</v>
      </c>
      <c r="E70" s="10">
        <f t="shared" si="21"/>
        <v>9.7768115942028944E-2</v>
      </c>
      <c r="F70" s="10">
        <f t="shared" si="21"/>
        <v>9.7768115942028944E-2</v>
      </c>
      <c r="G70" s="10">
        <f t="shared" si="21"/>
        <v>9.7768115942028944E-2</v>
      </c>
      <c r="H70" s="10">
        <f t="shared" si="21"/>
        <v>9.7768115942028944E-2</v>
      </c>
      <c r="I70" s="10">
        <f t="shared" si="21"/>
        <v>9.7768115942028944E-2</v>
      </c>
      <c r="J70" s="10">
        <f t="shared" si="21"/>
        <v>0.18190499194847018</v>
      </c>
      <c r="K70" s="10">
        <f t="shared" si="21"/>
        <v>0.18190499194847018</v>
      </c>
      <c r="L70" s="10">
        <f t="shared" si="21"/>
        <v>0.18190499194847018</v>
      </c>
      <c r="M70" s="10">
        <f t="shared" si="21"/>
        <v>0.30428590250329379</v>
      </c>
      <c r="N70" s="10">
        <f>N69/N59</f>
        <v>0.12805739130434782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4E26-D9A7-45EF-AF32-9654DE392543}">
  <dimension ref="A1:N70"/>
  <sheetViews>
    <sheetView topLeftCell="H63" workbookViewId="0"/>
  </sheetViews>
  <sheetFormatPr defaultRowHeight="14.5" x14ac:dyDescent="0.35"/>
  <cols>
    <col min="1" max="1" width="13.26953125" customWidth="1"/>
    <col min="2" max="2" width="19.26953125" bestFit="1" customWidth="1"/>
    <col min="3" max="13" width="15.54296875" bestFit="1" customWidth="1"/>
    <col min="14" max="14" width="14.54296875" bestFit="1" customWidth="1"/>
  </cols>
  <sheetData>
    <row r="1" spans="1:14" x14ac:dyDescent="0.35">
      <c r="A1" s="3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87</v>
      </c>
    </row>
    <row r="2" spans="1:14" ht="29" x14ac:dyDescent="0.35">
      <c r="A2" s="6" t="s">
        <v>4</v>
      </c>
      <c r="B2" s="13">
        <f>assumptions!$D$7*assumptions!B53</f>
        <v>3332700.0000000005</v>
      </c>
      <c r="C2" s="13">
        <f>assumptions!$D$7*assumptions!C53</f>
        <v>3332700.0000000005</v>
      </c>
      <c r="D2" s="13">
        <f>assumptions!$D$7*assumptions!D53</f>
        <v>3808800</v>
      </c>
      <c r="E2" s="13">
        <f>assumptions!$D$7*assumptions!E53</f>
        <v>3808800</v>
      </c>
      <c r="F2" s="13">
        <f>assumptions!$D$7*assumptions!F53</f>
        <v>3808800</v>
      </c>
      <c r="G2" s="13">
        <f>assumptions!$D$7*assumptions!G53</f>
        <v>3808800</v>
      </c>
      <c r="H2" s="13">
        <f>assumptions!$D$7*assumptions!H53</f>
        <v>3808800</v>
      </c>
      <c r="I2" s="13">
        <f>assumptions!$D$7*assumptions!I53</f>
        <v>3808800</v>
      </c>
      <c r="J2" s="13">
        <f>assumptions!$D$7*assumptions!J53</f>
        <v>4284900</v>
      </c>
      <c r="K2" s="13">
        <f>assumptions!$D$7*assumptions!K53</f>
        <v>4284900</v>
      </c>
      <c r="L2" s="13">
        <f>assumptions!$D$7*assumptions!L53</f>
        <v>4284900</v>
      </c>
      <c r="M2" s="13">
        <f>assumptions!$D$7*assumptions!M53</f>
        <v>5237100</v>
      </c>
      <c r="N2" s="13">
        <f>SUM(B2:M2)</f>
        <v>47610000</v>
      </c>
    </row>
    <row r="3" spans="1:14" ht="29" x14ac:dyDescent="0.35">
      <c r="A3" s="6" t="s">
        <v>36</v>
      </c>
      <c r="B3" s="13">
        <f>assumptions!$D$8*assumptions!B53</f>
        <v>370300.00000000006</v>
      </c>
      <c r="C3" s="13">
        <f>assumptions!$D$8*assumptions!C53</f>
        <v>370300.00000000006</v>
      </c>
      <c r="D3" s="13">
        <f>assumptions!$D$8*assumptions!D53</f>
        <v>423200</v>
      </c>
      <c r="E3" s="13">
        <f>assumptions!$D$8*assumptions!E53</f>
        <v>423200</v>
      </c>
      <c r="F3" s="13">
        <f>assumptions!$D$8*assumptions!F53</f>
        <v>423200</v>
      </c>
      <c r="G3" s="13">
        <f>assumptions!$D$8*assumptions!G53</f>
        <v>423200</v>
      </c>
      <c r="H3" s="13">
        <f>assumptions!$D$8*assumptions!H53</f>
        <v>423200</v>
      </c>
      <c r="I3" s="13">
        <f>assumptions!$D$8*assumptions!I53</f>
        <v>423200</v>
      </c>
      <c r="J3" s="13">
        <f>assumptions!$D$8*assumptions!J53</f>
        <v>476100</v>
      </c>
      <c r="K3" s="13">
        <f>assumptions!$D$8*assumptions!K53</f>
        <v>476100</v>
      </c>
      <c r="L3" s="13">
        <f>assumptions!$D$8*assumptions!L53</f>
        <v>476100</v>
      </c>
      <c r="M3" s="13">
        <f>assumptions!$D$8*assumptions!M53</f>
        <v>581900</v>
      </c>
      <c r="N3" s="13">
        <f>SUM(B3:M3)</f>
        <v>5290000</v>
      </c>
    </row>
    <row r="4" spans="1:14" x14ac:dyDescent="0.35">
      <c r="A4" s="7" t="s">
        <v>6</v>
      </c>
      <c r="B4" s="13">
        <f>SUM(B2:B3)</f>
        <v>3703000.0000000005</v>
      </c>
      <c r="C4" s="13">
        <f t="shared" ref="C4:N4" si="0">SUM(C2:C3)</f>
        <v>3703000.0000000005</v>
      </c>
      <c r="D4" s="13">
        <f t="shared" si="0"/>
        <v>4232000</v>
      </c>
      <c r="E4" s="13">
        <f t="shared" si="0"/>
        <v>4232000</v>
      </c>
      <c r="F4" s="13">
        <f t="shared" si="0"/>
        <v>4232000</v>
      </c>
      <c r="G4" s="13">
        <f t="shared" si="0"/>
        <v>4232000</v>
      </c>
      <c r="H4" s="13">
        <f t="shared" si="0"/>
        <v>4232000</v>
      </c>
      <c r="I4" s="13">
        <f t="shared" si="0"/>
        <v>4232000</v>
      </c>
      <c r="J4" s="13">
        <f t="shared" si="0"/>
        <v>4761000</v>
      </c>
      <c r="K4" s="13">
        <f t="shared" si="0"/>
        <v>4761000</v>
      </c>
      <c r="L4" s="13">
        <f t="shared" si="0"/>
        <v>4761000</v>
      </c>
      <c r="M4" s="13">
        <f t="shared" si="0"/>
        <v>5819000</v>
      </c>
      <c r="N4" s="13">
        <f t="shared" si="0"/>
        <v>52900000</v>
      </c>
    </row>
    <row r="7" spans="1:14" x14ac:dyDescent="0.35">
      <c r="A7" s="3" t="s">
        <v>11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87</v>
      </c>
    </row>
    <row r="8" spans="1:14" ht="29" x14ac:dyDescent="0.35">
      <c r="A8" s="6" t="s">
        <v>37</v>
      </c>
      <c r="B8" s="13">
        <f>assumptions!$D$15*assumptions!$D$25/12</f>
        <v>530450</v>
      </c>
      <c r="C8" s="13">
        <f>assumptions!$D$15*assumptions!$D$25/12</f>
        <v>530450</v>
      </c>
      <c r="D8" s="13">
        <f>assumptions!$D$15*assumptions!$D$25/12</f>
        <v>530450</v>
      </c>
      <c r="E8" s="13">
        <f>assumptions!$D$15*assumptions!$D$25/12</f>
        <v>530450</v>
      </c>
      <c r="F8" s="13">
        <f>assumptions!$D$15*assumptions!$D$25/12</f>
        <v>530450</v>
      </c>
      <c r="G8" s="13">
        <f>assumptions!$D$15*assumptions!$D$25/12</f>
        <v>530450</v>
      </c>
      <c r="H8" s="13">
        <f>assumptions!$D$15*assumptions!$D$25/12</f>
        <v>530450</v>
      </c>
      <c r="I8" s="13">
        <f>assumptions!$D$15*assumptions!$D$25/12</f>
        <v>530450</v>
      </c>
      <c r="J8" s="13">
        <f>assumptions!$D$15*assumptions!$D$25/12</f>
        <v>530450</v>
      </c>
      <c r="K8" s="13">
        <f>assumptions!$D$15*assumptions!$D$25/12</f>
        <v>530450</v>
      </c>
      <c r="L8" s="13">
        <f>assumptions!$D$15*assumptions!$D$25/12</f>
        <v>530450</v>
      </c>
      <c r="M8" s="13">
        <f>assumptions!$D$15*assumptions!$D$25/12</f>
        <v>530450</v>
      </c>
      <c r="N8" s="13">
        <f>SUM(B8:M8)</f>
        <v>6365400</v>
      </c>
    </row>
    <row r="9" spans="1:14" ht="29" x14ac:dyDescent="0.35">
      <c r="A9" s="6" t="s">
        <v>38</v>
      </c>
      <c r="B9" s="13">
        <f>$B$8*assumptions!$D$33</f>
        <v>106090</v>
      </c>
      <c r="C9" s="13">
        <f>$B$8*assumptions!$D$33</f>
        <v>106090</v>
      </c>
      <c r="D9" s="13">
        <f>$B$8*assumptions!$D$33</f>
        <v>106090</v>
      </c>
      <c r="E9" s="13">
        <f>$B$8*assumptions!$D$33</f>
        <v>106090</v>
      </c>
      <c r="F9" s="13">
        <f>$B$8*assumptions!$D$33</f>
        <v>106090</v>
      </c>
      <c r="G9" s="13">
        <f>$B$8*assumptions!$D$33</f>
        <v>106090</v>
      </c>
      <c r="H9" s="13">
        <f>$B$8*assumptions!$D$33</f>
        <v>106090</v>
      </c>
      <c r="I9" s="13">
        <f>$B$8*assumptions!$D$33</f>
        <v>106090</v>
      </c>
      <c r="J9" s="13">
        <f>$B$8*assumptions!$D$33</f>
        <v>106090</v>
      </c>
      <c r="K9" s="13">
        <f>$B$8*assumptions!$D$33</f>
        <v>106090</v>
      </c>
      <c r="L9" s="13">
        <f>$B$8*assumptions!$D$33</f>
        <v>106090</v>
      </c>
      <c r="M9" s="13">
        <f>$B$8*assumptions!$D$33</f>
        <v>106090</v>
      </c>
      <c r="N9" s="13">
        <f>SUM(B9:M9)</f>
        <v>1273080</v>
      </c>
    </row>
    <row r="10" spans="1:14" ht="29" x14ac:dyDescent="0.35">
      <c r="A10" s="6" t="s">
        <v>39</v>
      </c>
      <c r="B10" s="15">
        <f>B2*assumptions!$D$40</f>
        <v>166635.00000000003</v>
      </c>
      <c r="C10" s="15">
        <f>C2*assumptions!$D$40</f>
        <v>166635.00000000003</v>
      </c>
      <c r="D10" s="15">
        <f>D2*assumptions!$D$40</f>
        <v>190440</v>
      </c>
      <c r="E10" s="15">
        <f>E2*assumptions!$D$40</f>
        <v>190440</v>
      </c>
      <c r="F10" s="15">
        <f>F2*assumptions!$D$40</f>
        <v>190440</v>
      </c>
      <c r="G10" s="15">
        <f>G2*assumptions!$D$40</f>
        <v>190440</v>
      </c>
      <c r="H10" s="15">
        <f>H2*assumptions!$D$40</f>
        <v>190440</v>
      </c>
      <c r="I10" s="15">
        <f>I2*assumptions!$D$40</f>
        <v>190440</v>
      </c>
      <c r="J10" s="15">
        <f>J2*assumptions!$D$40</f>
        <v>214245</v>
      </c>
      <c r="K10" s="15">
        <f>K2*assumptions!$D$40</f>
        <v>214245</v>
      </c>
      <c r="L10" s="15">
        <f>L2*assumptions!$D$40</f>
        <v>214245</v>
      </c>
      <c r="M10" s="15">
        <f>M2*assumptions!$D$40</f>
        <v>261855</v>
      </c>
      <c r="N10" s="13">
        <f>SUM(B10:M10)</f>
        <v>2380500</v>
      </c>
    </row>
    <row r="11" spans="1:14" ht="29" x14ac:dyDescent="0.35">
      <c r="A11" s="6" t="s">
        <v>40</v>
      </c>
      <c r="B11" s="9">
        <f>(assumptions!$D$15*assumptions!$D$41)/12</f>
        <v>15000</v>
      </c>
      <c r="C11" s="9">
        <f>(assumptions!$D$15*assumptions!$D$41)/12</f>
        <v>15000</v>
      </c>
      <c r="D11" s="9">
        <f>(assumptions!$D$15*assumptions!$D$41)/12</f>
        <v>15000</v>
      </c>
      <c r="E11" s="9">
        <f>(assumptions!$D$15*assumptions!$D$41)/12</f>
        <v>15000</v>
      </c>
      <c r="F11" s="9">
        <f>(assumptions!$D$15*assumptions!$D$41)/12</f>
        <v>15000</v>
      </c>
      <c r="G11" s="9">
        <f>(assumptions!$D$15*assumptions!$D$41)/12</f>
        <v>15000</v>
      </c>
      <c r="H11" s="9">
        <f>(assumptions!$D$15*assumptions!$D$41)/12</f>
        <v>15000</v>
      </c>
      <c r="I11" s="9">
        <f>(assumptions!$D$15*assumptions!$D$41)/12</f>
        <v>15000</v>
      </c>
      <c r="J11" s="9">
        <f>(assumptions!$D$15*assumptions!$D$41)/12</f>
        <v>15000</v>
      </c>
      <c r="K11" s="9">
        <f>(assumptions!$D$15*assumptions!$D$41)/12</f>
        <v>15000</v>
      </c>
      <c r="L11" s="9">
        <f>(assumptions!$D$15*assumptions!$D$41)/12</f>
        <v>15000</v>
      </c>
      <c r="M11" s="9">
        <f>(assumptions!$D$15*assumptions!$D$41)/12</f>
        <v>15000</v>
      </c>
      <c r="N11" s="13">
        <f>SUM(B11:M11)</f>
        <v>180000</v>
      </c>
    </row>
    <row r="12" spans="1:14" ht="29" x14ac:dyDescent="0.35">
      <c r="A12" s="6" t="s">
        <v>41</v>
      </c>
      <c r="B12" s="13">
        <f>(assumptions!$D$15*assumptions!$D$42)/12</f>
        <v>20000</v>
      </c>
      <c r="C12" s="13">
        <f>(assumptions!$D$15*assumptions!$D$42)/12</f>
        <v>20000</v>
      </c>
      <c r="D12" s="13">
        <f>(assumptions!$D$15*assumptions!$D$42)/12</f>
        <v>20000</v>
      </c>
      <c r="E12" s="13">
        <f>(assumptions!$D$15*assumptions!$D$42)/12</f>
        <v>20000</v>
      </c>
      <c r="F12" s="13">
        <f>(assumptions!$D$15*assumptions!$D$42)/12</f>
        <v>20000</v>
      </c>
      <c r="G12" s="13">
        <f>(assumptions!$D$15*assumptions!$D$42)/12</f>
        <v>20000</v>
      </c>
      <c r="H12" s="13">
        <f>(assumptions!$D$15*assumptions!$D$42)/12</f>
        <v>20000</v>
      </c>
      <c r="I12" s="13">
        <f>(assumptions!$D$15*assumptions!$D$42)/12</f>
        <v>20000</v>
      </c>
      <c r="J12" s="13">
        <f>(assumptions!$D$15*assumptions!$D$42)/12</f>
        <v>20000</v>
      </c>
      <c r="K12" s="13">
        <f>(assumptions!$D$15*assumptions!$D$42)/12</f>
        <v>20000</v>
      </c>
      <c r="L12" s="13">
        <f>(assumptions!$D$15*assumptions!$D$42)/12</f>
        <v>20000</v>
      </c>
      <c r="M12" s="13">
        <f>(assumptions!$D$15*assumptions!$D$42)/12</f>
        <v>20000</v>
      </c>
      <c r="N12" s="13">
        <f>SUM(B12:M12)</f>
        <v>240000</v>
      </c>
    </row>
    <row r="13" spans="1:14" ht="29" x14ac:dyDescent="0.35">
      <c r="A13" s="7" t="s">
        <v>42</v>
      </c>
      <c r="B13" s="13">
        <f>SUM(B8:B12)</f>
        <v>838175</v>
      </c>
      <c r="C13" s="13">
        <f t="shared" ref="C13:N13" si="1">SUM(C8:C12)</f>
        <v>838175</v>
      </c>
      <c r="D13" s="13">
        <f t="shared" si="1"/>
        <v>861980</v>
      </c>
      <c r="E13" s="13">
        <f t="shared" si="1"/>
        <v>861980</v>
      </c>
      <c r="F13" s="13">
        <f t="shared" si="1"/>
        <v>861980</v>
      </c>
      <c r="G13" s="13">
        <f t="shared" si="1"/>
        <v>861980</v>
      </c>
      <c r="H13" s="13">
        <f t="shared" si="1"/>
        <v>861980</v>
      </c>
      <c r="I13" s="13">
        <f t="shared" si="1"/>
        <v>861980</v>
      </c>
      <c r="J13" s="13">
        <f t="shared" si="1"/>
        <v>885785</v>
      </c>
      <c r="K13" s="13">
        <f t="shared" si="1"/>
        <v>885785</v>
      </c>
      <c r="L13" s="13">
        <f t="shared" si="1"/>
        <v>885785</v>
      </c>
      <c r="M13" s="13">
        <f t="shared" si="1"/>
        <v>933395</v>
      </c>
      <c r="N13" s="13">
        <f t="shared" si="1"/>
        <v>10438980</v>
      </c>
    </row>
    <row r="16" spans="1:14" x14ac:dyDescent="0.35">
      <c r="A16" s="3" t="s">
        <v>13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87</v>
      </c>
    </row>
    <row r="17" spans="1:14" ht="29" x14ac:dyDescent="0.35">
      <c r="A17" s="6" t="s">
        <v>37</v>
      </c>
      <c r="B17" s="13">
        <f>(assumptions!$D$27*assumptions!$D$17)/12</f>
        <v>201571</v>
      </c>
      <c r="C17" s="13">
        <f>(assumptions!$D$27*assumptions!$D$17)/12</f>
        <v>201571</v>
      </c>
      <c r="D17" s="13">
        <f>(assumptions!$D$27*assumptions!$D$17)/12</f>
        <v>201571</v>
      </c>
      <c r="E17" s="13">
        <f>(assumptions!$D$27*assumptions!$D$17)/12</f>
        <v>201571</v>
      </c>
      <c r="F17" s="13">
        <f>(assumptions!$D$27*assumptions!$D$17)/12</f>
        <v>201571</v>
      </c>
      <c r="G17" s="13">
        <f>(assumptions!$D$27*assumptions!$D$17)/12</f>
        <v>201571</v>
      </c>
      <c r="H17" s="13">
        <f>(assumptions!$D$27*assumptions!$D$17)/12</f>
        <v>201571</v>
      </c>
      <c r="I17" s="13">
        <f>(assumptions!$D$27*assumptions!$D$17)/12</f>
        <v>201571</v>
      </c>
      <c r="J17" s="13">
        <f>(assumptions!$D$27*assumptions!$D$17)/12</f>
        <v>201571</v>
      </c>
      <c r="K17" s="13">
        <f>(assumptions!$D$27*assumptions!$D$17)/12</f>
        <v>201571</v>
      </c>
      <c r="L17" s="13">
        <f>(assumptions!$D$27*assumptions!$D$17)/12</f>
        <v>201571</v>
      </c>
      <c r="M17" s="13">
        <f>(assumptions!$D$27*assumptions!$D$17)/12</f>
        <v>201571</v>
      </c>
      <c r="N17" s="15">
        <f>SUM(B17:M17)</f>
        <v>2418852</v>
      </c>
    </row>
    <row r="18" spans="1:14" ht="29" x14ac:dyDescent="0.35">
      <c r="A18" s="6" t="s">
        <v>38</v>
      </c>
      <c r="B18" s="13">
        <f>B17*assumptions!$D$33</f>
        <v>40314.200000000004</v>
      </c>
      <c r="C18" s="13">
        <f>C17*assumptions!$D$33</f>
        <v>40314.200000000004</v>
      </c>
      <c r="D18" s="13">
        <f>D17*assumptions!$D$33</f>
        <v>40314.200000000004</v>
      </c>
      <c r="E18" s="13">
        <f>E17*assumptions!$D$33</f>
        <v>40314.200000000004</v>
      </c>
      <c r="F18" s="13">
        <f>F17*assumptions!$D$33</f>
        <v>40314.200000000004</v>
      </c>
      <c r="G18" s="13">
        <f>G17*assumptions!$D$33</f>
        <v>40314.200000000004</v>
      </c>
      <c r="H18" s="13">
        <f>H17*assumptions!$D$33</f>
        <v>40314.200000000004</v>
      </c>
      <c r="I18" s="13">
        <f>I17*assumptions!$D$33</f>
        <v>40314.200000000004</v>
      </c>
      <c r="J18" s="13">
        <f>J17*assumptions!$D$33</f>
        <v>40314.200000000004</v>
      </c>
      <c r="K18" s="13">
        <f>K17*assumptions!$D$33</f>
        <v>40314.200000000004</v>
      </c>
      <c r="L18" s="13">
        <f>L17*assumptions!$D$33</f>
        <v>40314.200000000004</v>
      </c>
      <c r="M18" s="13">
        <f>M17*assumptions!$D$33</f>
        <v>40314.200000000004</v>
      </c>
      <c r="N18" s="15">
        <f>SUM(B18:M18)</f>
        <v>483770.40000000008</v>
      </c>
    </row>
    <row r="19" spans="1:14" ht="29" x14ac:dyDescent="0.35">
      <c r="A19" s="6" t="s">
        <v>49</v>
      </c>
      <c r="B19" s="13">
        <f>B4*assumptions!$D$45</f>
        <v>222180.00000000003</v>
      </c>
      <c r="C19" s="13">
        <f>C4*assumptions!$D$45</f>
        <v>222180.00000000003</v>
      </c>
      <c r="D19" s="13">
        <f>D4*assumptions!$D$45</f>
        <v>253920</v>
      </c>
      <c r="E19" s="13">
        <f>E4*assumptions!$D$45</f>
        <v>253920</v>
      </c>
      <c r="F19" s="13">
        <f>F4*assumptions!$D$45</f>
        <v>253920</v>
      </c>
      <c r="G19" s="13">
        <f>G4*assumptions!$D$45</f>
        <v>253920</v>
      </c>
      <c r="H19" s="13">
        <f>H4*assumptions!$D$45</f>
        <v>253920</v>
      </c>
      <c r="I19" s="13">
        <f>I4*assumptions!$D$45</f>
        <v>253920</v>
      </c>
      <c r="J19" s="13">
        <f>J4*assumptions!$D$45</f>
        <v>285660</v>
      </c>
      <c r="K19" s="13">
        <f>K4*assumptions!$D$45</f>
        <v>285660</v>
      </c>
      <c r="L19" s="13">
        <f>L4*assumptions!$D$45</f>
        <v>285660</v>
      </c>
      <c r="M19" s="13">
        <f>M4*assumptions!$D$45</f>
        <v>349140</v>
      </c>
      <c r="N19" s="15">
        <f>SUM(B19:M19)</f>
        <v>3174000</v>
      </c>
    </row>
    <row r="20" spans="1:14" ht="29" x14ac:dyDescent="0.35">
      <c r="A20" s="6" t="s">
        <v>40</v>
      </c>
      <c r="B20" s="13">
        <f>(assumptions!$D$17*assumptions!$D$41)/12</f>
        <v>6000</v>
      </c>
      <c r="C20" s="13">
        <f>(assumptions!$D$17*assumptions!$D$41)/12</f>
        <v>6000</v>
      </c>
      <c r="D20" s="13">
        <f>(assumptions!$D$17*assumptions!$D$41)/12</f>
        <v>6000</v>
      </c>
      <c r="E20" s="13">
        <f>(assumptions!$D$17*assumptions!$D$41)/12</f>
        <v>6000</v>
      </c>
      <c r="F20" s="13">
        <f>(assumptions!$D$17*assumptions!$D$41)/12</f>
        <v>6000</v>
      </c>
      <c r="G20" s="13">
        <f>(assumptions!$D$17*assumptions!$D$41)/12</f>
        <v>6000</v>
      </c>
      <c r="H20" s="13">
        <f>(assumptions!$D$17*assumptions!$D$41)/12</f>
        <v>6000</v>
      </c>
      <c r="I20" s="13">
        <f>(assumptions!$D$17*assumptions!$D$41)/12</f>
        <v>6000</v>
      </c>
      <c r="J20" s="13">
        <f>(assumptions!$D$17*assumptions!$D$41)/12</f>
        <v>6000</v>
      </c>
      <c r="K20" s="13">
        <f>(assumptions!$D$17*assumptions!$D$41)/12</f>
        <v>6000</v>
      </c>
      <c r="L20" s="13">
        <f>(assumptions!$D$17*assumptions!$D$41)/12</f>
        <v>6000</v>
      </c>
      <c r="M20" s="13">
        <f>(assumptions!$D$17*assumptions!$D$41)/12</f>
        <v>6000</v>
      </c>
      <c r="N20" s="15">
        <f>SUM(B20:M20)</f>
        <v>72000</v>
      </c>
    </row>
    <row r="21" spans="1:14" ht="29" x14ac:dyDescent="0.35">
      <c r="A21" s="6" t="s">
        <v>41</v>
      </c>
      <c r="B21" s="13">
        <f>(assumptions!$D$44*assumptions!$D$17)/12</f>
        <v>5000</v>
      </c>
      <c r="C21" s="13">
        <f>(assumptions!$D$44*assumptions!$D$17)/12</f>
        <v>5000</v>
      </c>
      <c r="D21" s="13">
        <f>(assumptions!$D$44*assumptions!$D$17)/12</f>
        <v>5000</v>
      </c>
      <c r="E21" s="13">
        <f>(assumptions!$D$44*assumptions!$D$17)/12</f>
        <v>5000</v>
      </c>
      <c r="F21" s="13">
        <f>(assumptions!$D$44*assumptions!$D$17)/12</f>
        <v>5000</v>
      </c>
      <c r="G21" s="13">
        <f>(assumptions!$D$44*assumptions!$D$17)/12</f>
        <v>5000</v>
      </c>
      <c r="H21" s="13">
        <f>(assumptions!$D$44*assumptions!$D$17)/12</f>
        <v>5000</v>
      </c>
      <c r="I21" s="13">
        <f>(assumptions!$D$44*assumptions!$D$17)/12</f>
        <v>5000</v>
      </c>
      <c r="J21" s="13">
        <f>(assumptions!$D$44*assumptions!$D$17)/12</f>
        <v>5000</v>
      </c>
      <c r="K21" s="13">
        <f>(assumptions!$D$44*assumptions!$D$17)/12</f>
        <v>5000</v>
      </c>
      <c r="L21" s="13">
        <f>(assumptions!$D$44*assumptions!$D$17)/12</f>
        <v>5000</v>
      </c>
      <c r="M21" s="13">
        <f>(assumptions!$D$44*assumptions!$D$17)/12</f>
        <v>5000</v>
      </c>
      <c r="N21" s="15">
        <f>SUM(B21:M21)</f>
        <v>60000</v>
      </c>
    </row>
    <row r="22" spans="1:14" ht="43.5" x14ac:dyDescent="0.35">
      <c r="A22" s="7" t="s">
        <v>50</v>
      </c>
      <c r="B22" s="13">
        <f>SUM(B$17:B$21)</f>
        <v>475065.20000000007</v>
      </c>
      <c r="C22" s="13">
        <f>SUM(C$17:C$21)</f>
        <v>475065.20000000007</v>
      </c>
      <c r="D22" s="13">
        <f t="shared" ref="D22:N22" si="2">SUM(D$17:D$21)</f>
        <v>506805.2</v>
      </c>
      <c r="E22" s="13">
        <f t="shared" si="2"/>
        <v>506805.2</v>
      </c>
      <c r="F22" s="13">
        <f t="shared" si="2"/>
        <v>506805.2</v>
      </c>
      <c r="G22" s="13">
        <f t="shared" si="2"/>
        <v>506805.2</v>
      </c>
      <c r="H22" s="13">
        <f t="shared" si="2"/>
        <v>506805.2</v>
      </c>
      <c r="I22" s="13">
        <f t="shared" si="2"/>
        <v>506805.2</v>
      </c>
      <c r="J22" s="13">
        <f t="shared" si="2"/>
        <v>538545.19999999995</v>
      </c>
      <c r="K22" s="13">
        <f t="shared" si="2"/>
        <v>538545.19999999995</v>
      </c>
      <c r="L22" s="13">
        <f t="shared" si="2"/>
        <v>538545.19999999995</v>
      </c>
      <c r="M22" s="13">
        <f t="shared" si="2"/>
        <v>602025.19999999995</v>
      </c>
      <c r="N22" s="13">
        <f>SUM(N$17:N$21)</f>
        <v>6208622.4000000004</v>
      </c>
    </row>
    <row r="25" spans="1:14" x14ac:dyDescent="0.35">
      <c r="A25" s="3" t="s">
        <v>10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87</v>
      </c>
    </row>
    <row r="26" spans="1:14" ht="29" x14ac:dyDescent="0.35">
      <c r="A26" s="6" t="s">
        <v>37</v>
      </c>
      <c r="B26" s="9">
        <f>(assumptions!$D$24*assumptions!$D$14)/12</f>
        <v>978680.25</v>
      </c>
      <c r="C26" s="9">
        <f>(assumptions!$D$24*assumptions!$D$14)/12</f>
        <v>978680.25</v>
      </c>
      <c r="D26" s="9">
        <f>(assumptions!$D$24*assumptions!$D$14)/12</f>
        <v>978680.25</v>
      </c>
      <c r="E26" s="9">
        <f>(assumptions!$D$24*assumptions!$D$14)/12</f>
        <v>978680.25</v>
      </c>
      <c r="F26" s="9">
        <f>(assumptions!$D$24*assumptions!$D$14)/12</f>
        <v>978680.25</v>
      </c>
      <c r="G26" s="9">
        <f>(assumptions!$D$24*assumptions!$D$14)/12</f>
        <v>978680.25</v>
      </c>
      <c r="H26" s="9">
        <f>(assumptions!$D$24*assumptions!$D$14)/12</f>
        <v>978680.25</v>
      </c>
      <c r="I26" s="9">
        <f>(assumptions!$D$24*assumptions!$D$14)/12</f>
        <v>978680.25</v>
      </c>
      <c r="J26" s="9">
        <f>(assumptions!$D$24*assumptions!$D$14)/12</f>
        <v>978680.25</v>
      </c>
      <c r="K26" s="9">
        <f>(assumptions!$D$24*assumptions!$D$14)/12</f>
        <v>978680.25</v>
      </c>
      <c r="L26" s="9">
        <f>(assumptions!$D$24*assumptions!$D$14)/12</f>
        <v>978680.25</v>
      </c>
      <c r="M26" s="9">
        <f>(assumptions!$D$24*assumptions!$D$14)/12</f>
        <v>978680.25</v>
      </c>
      <c r="N26" s="8">
        <f>SUM(B26:M26)</f>
        <v>11744163</v>
      </c>
    </row>
    <row r="27" spans="1:14" ht="29" x14ac:dyDescent="0.35">
      <c r="A27" s="6" t="s">
        <v>38</v>
      </c>
      <c r="B27" s="9">
        <f>assumptions!$D$33*B26</f>
        <v>195736.05000000002</v>
      </c>
      <c r="C27" s="9">
        <f>assumptions!$D$33*C26</f>
        <v>195736.05000000002</v>
      </c>
      <c r="D27" s="9">
        <f>assumptions!$D$33*D26</f>
        <v>195736.05000000002</v>
      </c>
      <c r="E27" s="9">
        <f>assumptions!$D$33*E26</f>
        <v>195736.05000000002</v>
      </c>
      <c r="F27" s="9">
        <f>assumptions!$D$33*F26</f>
        <v>195736.05000000002</v>
      </c>
      <c r="G27" s="9">
        <f>assumptions!$D$33*G26</f>
        <v>195736.05000000002</v>
      </c>
      <c r="H27" s="9">
        <f>assumptions!$D$33*H26</f>
        <v>195736.05000000002</v>
      </c>
      <c r="I27" s="9">
        <f>assumptions!$D$33*I26</f>
        <v>195736.05000000002</v>
      </c>
      <c r="J27" s="9">
        <f>assumptions!$D$33*J26</f>
        <v>195736.05000000002</v>
      </c>
      <c r="K27" s="9">
        <f>assumptions!$D$33*K26</f>
        <v>195736.05000000002</v>
      </c>
      <c r="L27" s="9">
        <f>assumptions!$D$33*L26</f>
        <v>195736.05000000002</v>
      </c>
      <c r="M27" s="9">
        <f>assumptions!$D$33*M26</f>
        <v>195736.05000000002</v>
      </c>
      <c r="N27" s="8">
        <f t="shared" ref="N27:N29" si="3">SUM(B27:M27)</f>
        <v>2348832.6</v>
      </c>
    </row>
    <row r="28" spans="1:14" ht="29" x14ac:dyDescent="0.35">
      <c r="A28" s="6" t="s">
        <v>52</v>
      </c>
      <c r="B28" s="13">
        <f>assumptions!$D$46*B4</f>
        <v>148120.00000000003</v>
      </c>
      <c r="C28" s="13">
        <f>assumptions!$D$46*C4</f>
        <v>148120.00000000003</v>
      </c>
      <c r="D28" s="13">
        <f>assumptions!$D$46*D4</f>
        <v>169280</v>
      </c>
      <c r="E28" s="13">
        <f>assumptions!$D$46*E4</f>
        <v>169280</v>
      </c>
      <c r="F28" s="13">
        <f>assumptions!$D$46*F4</f>
        <v>169280</v>
      </c>
      <c r="G28" s="13">
        <f>assumptions!$D$46*G4</f>
        <v>169280</v>
      </c>
      <c r="H28" s="13">
        <f>assumptions!$D$46*H4</f>
        <v>169280</v>
      </c>
      <c r="I28" s="13">
        <f>assumptions!$D$46*I4</f>
        <v>169280</v>
      </c>
      <c r="J28" s="13">
        <f>assumptions!$D$46*J4</f>
        <v>190440</v>
      </c>
      <c r="K28" s="13">
        <f>assumptions!$D$46*K4</f>
        <v>190440</v>
      </c>
      <c r="L28" s="13">
        <f>assumptions!$D$46*L4</f>
        <v>190440</v>
      </c>
      <c r="M28" s="13">
        <f>assumptions!$D$46*M4</f>
        <v>232760</v>
      </c>
      <c r="N28" s="8">
        <f t="shared" si="3"/>
        <v>2116000</v>
      </c>
    </row>
    <row r="29" spans="1:14" ht="29" x14ac:dyDescent="0.35">
      <c r="A29" s="6" t="s">
        <v>40</v>
      </c>
      <c r="B29" s="13">
        <f>(assumptions!$D$14*assumptions!$D$41)/12</f>
        <v>20500</v>
      </c>
      <c r="C29" s="13">
        <f>(assumptions!$D$14*assumptions!$D$41)/12</f>
        <v>20500</v>
      </c>
      <c r="D29" s="13">
        <f>(assumptions!$D$14*assumptions!$D$41)/12</f>
        <v>20500</v>
      </c>
      <c r="E29" s="13">
        <f>(assumptions!$D$14*assumptions!$D$41)/12</f>
        <v>20500</v>
      </c>
      <c r="F29" s="13">
        <f>(assumptions!$D$14*assumptions!$D$41)/12</f>
        <v>20500</v>
      </c>
      <c r="G29" s="13">
        <f>(assumptions!$D$14*assumptions!$D$41)/12</f>
        <v>20500</v>
      </c>
      <c r="H29" s="13">
        <f>(assumptions!$D$14*assumptions!$D$41)/12</f>
        <v>20500</v>
      </c>
      <c r="I29" s="13">
        <f>(assumptions!$D$14*assumptions!$D$41)/12</f>
        <v>20500</v>
      </c>
      <c r="J29" s="13">
        <f>(assumptions!$D$14*assumptions!$D$41)/12</f>
        <v>20500</v>
      </c>
      <c r="K29" s="13">
        <f>(assumptions!$D$14*assumptions!$D$41)/12</f>
        <v>20500</v>
      </c>
      <c r="L29" s="13">
        <f>(assumptions!$D$14*assumptions!$D$41)/12</f>
        <v>20500</v>
      </c>
      <c r="M29" s="13">
        <f>(assumptions!$D$14*assumptions!$D$41)/12</f>
        <v>20500</v>
      </c>
      <c r="N29" s="8">
        <f t="shared" si="3"/>
        <v>246000</v>
      </c>
    </row>
    <row r="30" spans="1:14" ht="43.5" x14ac:dyDescent="0.35">
      <c r="A30" s="7" t="s">
        <v>53</v>
      </c>
      <c r="B30" s="9">
        <f>SUM(B26:B29)</f>
        <v>1343036.3</v>
      </c>
      <c r="C30" s="9">
        <f t="shared" ref="C30:N30" si="4">SUM(C26:C29)</f>
        <v>1343036.3</v>
      </c>
      <c r="D30" s="9">
        <f t="shared" si="4"/>
        <v>1364196.3</v>
      </c>
      <c r="E30" s="9">
        <f t="shared" si="4"/>
        <v>1364196.3</v>
      </c>
      <c r="F30" s="9">
        <f t="shared" si="4"/>
        <v>1364196.3</v>
      </c>
      <c r="G30" s="9">
        <f t="shared" si="4"/>
        <v>1364196.3</v>
      </c>
      <c r="H30" s="9">
        <f t="shared" si="4"/>
        <v>1364196.3</v>
      </c>
      <c r="I30" s="9">
        <f t="shared" si="4"/>
        <v>1364196.3</v>
      </c>
      <c r="J30" s="9">
        <f t="shared" si="4"/>
        <v>1385356.3</v>
      </c>
      <c r="K30" s="9">
        <f t="shared" si="4"/>
        <v>1385356.3</v>
      </c>
      <c r="L30" s="9">
        <f t="shared" si="4"/>
        <v>1385356.3</v>
      </c>
      <c r="M30" s="9">
        <f t="shared" si="4"/>
        <v>1427676.3</v>
      </c>
      <c r="N30" s="9">
        <f t="shared" si="4"/>
        <v>16454995.6</v>
      </c>
    </row>
    <row r="33" spans="1:14" x14ac:dyDescent="0.35">
      <c r="A33" s="3" t="s">
        <v>14</v>
      </c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29</v>
      </c>
      <c r="I33" s="5" t="s">
        <v>30</v>
      </c>
      <c r="J33" s="5" t="s">
        <v>31</v>
      </c>
      <c r="K33" s="5" t="s">
        <v>32</v>
      </c>
      <c r="L33" s="5" t="s">
        <v>33</v>
      </c>
      <c r="M33" s="5" t="s">
        <v>34</v>
      </c>
      <c r="N33" s="5" t="s">
        <v>87</v>
      </c>
    </row>
    <row r="34" spans="1:14" ht="29" x14ac:dyDescent="0.35">
      <c r="A34" s="6" t="s">
        <v>37</v>
      </c>
      <c r="B34" s="9">
        <f>(assumptions!$D$18*assumptions!$D$28)/12</f>
        <v>209969.79166666666</v>
      </c>
      <c r="C34" s="9">
        <f>(assumptions!$D$18*assumptions!$D$28)/12</f>
        <v>209969.79166666666</v>
      </c>
      <c r="D34" s="9">
        <f>(assumptions!$D$18*assumptions!$D$28)/12</f>
        <v>209969.79166666666</v>
      </c>
      <c r="E34" s="9">
        <f>(assumptions!$D$18*assumptions!$D$28)/12</f>
        <v>209969.79166666666</v>
      </c>
      <c r="F34" s="9">
        <f>(assumptions!$D$18*assumptions!$D$28)/12</f>
        <v>209969.79166666666</v>
      </c>
      <c r="G34" s="9">
        <f>(assumptions!$D$18*assumptions!$D$28)/12</f>
        <v>209969.79166666666</v>
      </c>
      <c r="H34" s="9">
        <f>(assumptions!$D$18*assumptions!$D$28)/12</f>
        <v>209969.79166666666</v>
      </c>
      <c r="I34" s="9">
        <f>(assumptions!$D$18*assumptions!$D$28)/12</f>
        <v>209969.79166666666</v>
      </c>
      <c r="J34" s="9">
        <f>(assumptions!$D$18*assumptions!$D$28)/12</f>
        <v>209969.79166666666</v>
      </c>
      <c r="K34" s="9">
        <f>(assumptions!$D$18*assumptions!$D$28)/12</f>
        <v>209969.79166666666</v>
      </c>
      <c r="L34" s="9">
        <f>(assumptions!$D$18*assumptions!$D$28)/12</f>
        <v>209969.79166666666</v>
      </c>
      <c r="M34" s="9">
        <f>(assumptions!$D$18*assumptions!$D$28)/12</f>
        <v>209969.79166666666</v>
      </c>
      <c r="N34" s="8">
        <f>SUM(B34:M34)</f>
        <v>2519637.5</v>
      </c>
    </row>
    <row r="35" spans="1:14" ht="29" x14ac:dyDescent="0.35">
      <c r="A35" s="6" t="s">
        <v>38</v>
      </c>
      <c r="B35" s="9">
        <f>B34*assumptions!$D$33</f>
        <v>41993.958333333336</v>
      </c>
      <c r="C35" s="9">
        <f>C34*assumptions!$D$33</f>
        <v>41993.958333333336</v>
      </c>
      <c r="D35" s="9">
        <f>D34*assumptions!$D$33</f>
        <v>41993.958333333336</v>
      </c>
      <c r="E35" s="9">
        <f>E34*assumptions!$D$33</f>
        <v>41993.958333333336</v>
      </c>
      <c r="F35" s="9">
        <f>F34*assumptions!$D$33</f>
        <v>41993.958333333336</v>
      </c>
      <c r="G35" s="9">
        <f>G34*assumptions!$D$33</f>
        <v>41993.958333333336</v>
      </c>
      <c r="H35" s="9">
        <f>H34*assumptions!$D$33</f>
        <v>41993.958333333336</v>
      </c>
      <c r="I35" s="9">
        <f>I34*assumptions!$D$33</f>
        <v>41993.958333333336</v>
      </c>
      <c r="J35" s="9">
        <f>J34*assumptions!$D$33</f>
        <v>41993.958333333336</v>
      </c>
      <c r="K35" s="9">
        <f>K34*assumptions!$D$33</f>
        <v>41993.958333333336</v>
      </c>
      <c r="L35" s="9">
        <f>L34*assumptions!$D$33</f>
        <v>41993.958333333336</v>
      </c>
      <c r="M35" s="9">
        <f>M34*assumptions!$D$33</f>
        <v>41993.958333333336</v>
      </c>
      <c r="N35" s="8">
        <f t="shared" ref="N35:N37" si="5">SUM(B35:M35)</f>
        <v>503927.49999999994</v>
      </c>
    </row>
    <row r="36" spans="1:14" ht="29" x14ac:dyDescent="0.35">
      <c r="A36" s="6" t="s">
        <v>40</v>
      </c>
      <c r="B36" s="9">
        <f>(assumptions!$D$18*assumptions!$D$41)/12</f>
        <v>4750</v>
      </c>
      <c r="C36" s="9">
        <f>(assumptions!$D$18*assumptions!$D$41)/12</f>
        <v>4750</v>
      </c>
      <c r="D36" s="9">
        <f>(assumptions!$D$18*assumptions!$D$41)/12</f>
        <v>4750</v>
      </c>
      <c r="E36" s="9">
        <f>(assumptions!$D$18*assumptions!$D$41)/12</f>
        <v>4750</v>
      </c>
      <c r="F36" s="9">
        <f>(assumptions!$D$18*assumptions!$D$41)/12</f>
        <v>4750</v>
      </c>
      <c r="G36" s="9">
        <f>(assumptions!$D$18*assumptions!$D$41)/12</f>
        <v>4750</v>
      </c>
      <c r="H36" s="9">
        <f>(assumptions!$D$18*assumptions!$D$41)/12</f>
        <v>4750</v>
      </c>
      <c r="I36" s="9">
        <f>(assumptions!$D$18*assumptions!$D$41)/12</f>
        <v>4750</v>
      </c>
      <c r="J36" s="9">
        <f>(assumptions!$D$18*assumptions!$D$41)/12</f>
        <v>4750</v>
      </c>
      <c r="K36" s="9">
        <f>(assumptions!$D$18*assumptions!$D$41)/12</f>
        <v>4750</v>
      </c>
      <c r="L36" s="9">
        <f>(assumptions!$D$18*assumptions!$D$41)/12</f>
        <v>4750</v>
      </c>
      <c r="M36" s="9">
        <f>(assumptions!$D$18*assumptions!$D$41)/12</f>
        <v>4750</v>
      </c>
      <c r="N36" s="8">
        <f t="shared" si="5"/>
        <v>57000</v>
      </c>
    </row>
    <row r="37" spans="1:14" ht="29" x14ac:dyDescent="0.35">
      <c r="A37" s="6" t="s">
        <v>36</v>
      </c>
      <c r="B37" s="13">
        <f>assumptions!$D$47/12</f>
        <v>27083.333333333332</v>
      </c>
      <c r="C37" s="13">
        <f>assumptions!$D$47/12</f>
        <v>27083.333333333332</v>
      </c>
      <c r="D37" s="13">
        <f>assumptions!$D$47/12</f>
        <v>27083.333333333332</v>
      </c>
      <c r="E37" s="13">
        <f>assumptions!$D$47/12</f>
        <v>27083.333333333332</v>
      </c>
      <c r="F37" s="13">
        <f>assumptions!$D$47/12</f>
        <v>27083.333333333332</v>
      </c>
      <c r="G37" s="13">
        <f>assumptions!$D$47/12</f>
        <v>27083.333333333332</v>
      </c>
      <c r="H37" s="13">
        <f>assumptions!$D$47/12</f>
        <v>27083.333333333332</v>
      </c>
      <c r="I37" s="13">
        <f>assumptions!$D$47/12</f>
        <v>27083.333333333332</v>
      </c>
      <c r="J37" s="13">
        <f>assumptions!$D$47/12</f>
        <v>27083.333333333332</v>
      </c>
      <c r="K37" s="13">
        <f>assumptions!$D$47/12</f>
        <v>27083.333333333332</v>
      </c>
      <c r="L37" s="13">
        <f>assumptions!$D$47/12</f>
        <v>27083.333333333332</v>
      </c>
      <c r="M37" s="13">
        <f>assumptions!$D$47/12</f>
        <v>27083.333333333332</v>
      </c>
      <c r="N37" s="8">
        <f t="shared" si="5"/>
        <v>325000</v>
      </c>
    </row>
    <row r="38" spans="1:14" ht="29" x14ac:dyDescent="0.35">
      <c r="A38" s="7" t="s">
        <v>54</v>
      </c>
      <c r="B38" s="9">
        <f>SUM(B34:B37)</f>
        <v>283797.08333333331</v>
      </c>
      <c r="C38" s="9">
        <f t="shared" ref="C38:N38" si="6">SUM(C34:C37)</f>
        <v>283797.08333333331</v>
      </c>
      <c r="D38" s="9">
        <f t="shared" si="6"/>
        <v>283797.08333333331</v>
      </c>
      <c r="E38" s="9">
        <f t="shared" si="6"/>
        <v>283797.08333333331</v>
      </c>
      <c r="F38" s="9">
        <f t="shared" si="6"/>
        <v>283797.08333333331</v>
      </c>
      <c r="G38" s="9">
        <f t="shared" si="6"/>
        <v>283797.08333333331</v>
      </c>
      <c r="H38" s="9">
        <f t="shared" si="6"/>
        <v>283797.08333333331</v>
      </c>
      <c r="I38" s="9">
        <f t="shared" si="6"/>
        <v>283797.08333333331</v>
      </c>
      <c r="J38" s="9">
        <f t="shared" si="6"/>
        <v>283797.08333333331</v>
      </c>
      <c r="K38" s="9">
        <f t="shared" si="6"/>
        <v>283797.08333333331</v>
      </c>
      <c r="L38" s="9">
        <f t="shared" si="6"/>
        <v>283797.08333333331</v>
      </c>
      <c r="M38" s="9">
        <f t="shared" si="6"/>
        <v>283797.08333333331</v>
      </c>
      <c r="N38" s="9">
        <f t="shared" si="6"/>
        <v>3405565</v>
      </c>
    </row>
    <row r="41" spans="1:14" ht="29" x14ac:dyDescent="0.35">
      <c r="A41" s="3" t="s">
        <v>12</v>
      </c>
      <c r="B41" s="5" t="s">
        <v>23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29</v>
      </c>
      <c r="I41" s="5" t="s">
        <v>30</v>
      </c>
      <c r="J41" s="5" t="s">
        <v>31</v>
      </c>
      <c r="K41" s="5" t="s">
        <v>32</v>
      </c>
      <c r="L41" s="5" t="s">
        <v>33</v>
      </c>
      <c r="M41" s="5" t="s">
        <v>34</v>
      </c>
      <c r="N41" s="5" t="s">
        <v>87</v>
      </c>
    </row>
    <row r="42" spans="1:14" ht="29" x14ac:dyDescent="0.35">
      <c r="A42" s="6" t="s">
        <v>37</v>
      </c>
      <c r="B42" s="9">
        <f>(assumptions!$D$26*assumptions!$D$16)/12</f>
        <v>270529.5</v>
      </c>
      <c r="C42" s="9">
        <f>(assumptions!$D$26*assumptions!$D$16)/12</f>
        <v>270529.5</v>
      </c>
      <c r="D42" s="9">
        <f>(assumptions!$D$26*assumptions!$D$16)/12</f>
        <v>270529.5</v>
      </c>
      <c r="E42" s="9">
        <f>(assumptions!$D$26*assumptions!$D$16)/12</f>
        <v>270529.5</v>
      </c>
      <c r="F42" s="9">
        <f>(assumptions!$D$26*assumptions!$D$16)/12</f>
        <v>270529.5</v>
      </c>
      <c r="G42" s="9">
        <f>(assumptions!$D$26*assumptions!$D$16)/12</f>
        <v>270529.5</v>
      </c>
      <c r="H42" s="9">
        <f>(assumptions!$D$26*assumptions!$D$16)/12</f>
        <v>270529.5</v>
      </c>
      <c r="I42" s="9">
        <f>(assumptions!$D$26*assumptions!$D$16)/12</f>
        <v>270529.5</v>
      </c>
      <c r="J42" s="9">
        <f>(assumptions!$D$26*assumptions!$D$16)/12</f>
        <v>270529.5</v>
      </c>
      <c r="K42" s="9">
        <f>(assumptions!$D$26*assumptions!$D$16)/12</f>
        <v>270529.5</v>
      </c>
      <c r="L42" s="9">
        <f>(assumptions!$D$26*assumptions!$D$16)/12</f>
        <v>270529.5</v>
      </c>
      <c r="M42" s="9">
        <f>(assumptions!$D$26*assumptions!$D$16)/12</f>
        <v>270529.5</v>
      </c>
      <c r="N42" s="8">
        <f>SUM(B42:M42)</f>
        <v>3246354</v>
      </c>
    </row>
    <row r="43" spans="1:14" ht="29" x14ac:dyDescent="0.35">
      <c r="A43" s="6" t="s">
        <v>38</v>
      </c>
      <c r="B43" s="9">
        <f>B42*assumptions!$D$33</f>
        <v>54105.9</v>
      </c>
      <c r="C43" s="9">
        <f>C42*assumptions!$D$33</f>
        <v>54105.9</v>
      </c>
      <c r="D43" s="9">
        <f>D42*assumptions!$D$33</f>
        <v>54105.9</v>
      </c>
      <c r="E43" s="9">
        <f>E42*assumptions!$D$33</f>
        <v>54105.9</v>
      </c>
      <c r="F43" s="9">
        <f>F42*assumptions!$D$33</f>
        <v>54105.9</v>
      </c>
      <c r="G43" s="9">
        <f>G42*assumptions!$D$33</f>
        <v>54105.9</v>
      </c>
      <c r="H43" s="9">
        <f>H42*assumptions!$D$33</f>
        <v>54105.9</v>
      </c>
      <c r="I43" s="9">
        <f>I42*assumptions!$D$33</f>
        <v>54105.9</v>
      </c>
      <c r="J43" s="9">
        <f>J42*assumptions!$D$33</f>
        <v>54105.9</v>
      </c>
      <c r="K43" s="9">
        <f>K42*assumptions!$D$33</f>
        <v>54105.9</v>
      </c>
      <c r="L43" s="9">
        <f>L42*assumptions!$D$33</f>
        <v>54105.9</v>
      </c>
      <c r="M43" s="9">
        <f>M42*assumptions!$D$33</f>
        <v>54105.9</v>
      </c>
      <c r="N43" s="8">
        <f t="shared" ref="N43:N46" si="7">SUM(B43:M43)</f>
        <v>649270.80000000016</v>
      </c>
    </row>
    <row r="44" spans="1:14" ht="29" x14ac:dyDescent="0.35">
      <c r="A44" s="6" t="s">
        <v>40</v>
      </c>
      <c r="B44" s="13">
        <f>(assumptions!$D$16*assumptions!$D$41)/12</f>
        <v>9000</v>
      </c>
      <c r="C44" s="13">
        <f>(assumptions!$D$16*assumptions!$D$41)/12</f>
        <v>9000</v>
      </c>
      <c r="D44" s="13">
        <f>(assumptions!$D$16*assumptions!$D$41)/12</f>
        <v>9000</v>
      </c>
      <c r="E44" s="13">
        <f>(assumptions!$D$16*assumptions!$D$41)/12</f>
        <v>9000</v>
      </c>
      <c r="F44" s="13">
        <f>(assumptions!$D$16*assumptions!$D$41)/12</f>
        <v>9000</v>
      </c>
      <c r="G44" s="13">
        <f>(assumptions!$D$16*assumptions!$D$41)/12</f>
        <v>9000</v>
      </c>
      <c r="H44" s="13">
        <f>(assumptions!$D$16*assumptions!$D$41)/12</f>
        <v>9000</v>
      </c>
      <c r="I44" s="13">
        <f>(assumptions!$D$16*assumptions!$D$41)/12</f>
        <v>9000</v>
      </c>
      <c r="J44" s="13">
        <f>(assumptions!$D$16*assumptions!$D$41)/12</f>
        <v>9000</v>
      </c>
      <c r="K44" s="13">
        <f>(assumptions!$D$16*assumptions!$D$41)/12</f>
        <v>9000</v>
      </c>
      <c r="L44" s="13">
        <f>(assumptions!$D$16*assumptions!$D$41)/12</f>
        <v>9000</v>
      </c>
      <c r="M44" s="13">
        <f>(assumptions!$D$16*assumptions!$D$41)/12</f>
        <v>9000</v>
      </c>
      <c r="N44" s="8">
        <f t="shared" si="7"/>
        <v>108000</v>
      </c>
    </row>
    <row r="45" spans="1:14" ht="29" x14ac:dyDescent="0.35">
      <c r="A45" s="6" t="s">
        <v>41</v>
      </c>
      <c r="B45" s="9">
        <f>(assumptions!$D$43*assumptions!$D$16)/12</f>
        <v>6000</v>
      </c>
      <c r="C45" s="9">
        <f>(assumptions!$D$43*assumptions!$D$16)/12</f>
        <v>6000</v>
      </c>
      <c r="D45" s="9">
        <f>(assumptions!$D$43*assumptions!$D$16)/12</f>
        <v>6000</v>
      </c>
      <c r="E45" s="9">
        <f>(assumptions!$D$43*assumptions!$D$16)/12</f>
        <v>6000</v>
      </c>
      <c r="F45" s="9">
        <f>(assumptions!$D$43*assumptions!$D$16)/12</f>
        <v>6000</v>
      </c>
      <c r="G45" s="9">
        <f>(assumptions!$D$43*assumptions!$D$16)/12</f>
        <v>6000</v>
      </c>
      <c r="H45" s="9">
        <f>(assumptions!$D$43*assumptions!$D$16)/12</f>
        <v>6000</v>
      </c>
      <c r="I45" s="9">
        <f>(assumptions!$D$43*assumptions!$D$16)/12</f>
        <v>6000</v>
      </c>
      <c r="J45" s="9">
        <f>(assumptions!$D$43*assumptions!$D$16)/12</f>
        <v>6000</v>
      </c>
      <c r="K45" s="9">
        <f>(assumptions!$D$43*assumptions!$D$16)/12</f>
        <v>6000</v>
      </c>
      <c r="L45" s="9">
        <f>(assumptions!$D$43*assumptions!$D$16)/12</f>
        <v>6000</v>
      </c>
      <c r="M45" s="9">
        <f>(assumptions!$D$43*assumptions!$D$16)/12</f>
        <v>6000</v>
      </c>
      <c r="N45" s="8">
        <f t="shared" si="7"/>
        <v>72000</v>
      </c>
    </row>
    <row r="46" spans="1:14" ht="58" x14ac:dyDescent="0.35">
      <c r="A46" s="7" t="s">
        <v>55</v>
      </c>
      <c r="B46" s="9">
        <f>SUM(B42:B45)</f>
        <v>339635.4</v>
      </c>
      <c r="C46" s="9">
        <f t="shared" ref="C46:M46" si="8">SUM(C42:C45)</f>
        <v>339635.4</v>
      </c>
      <c r="D46" s="9">
        <f t="shared" si="8"/>
        <v>339635.4</v>
      </c>
      <c r="E46" s="9">
        <f t="shared" si="8"/>
        <v>339635.4</v>
      </c>
      <c r="F46" s="9">
        <f t="shared" si="8"/>
        <v>339635.4</v>
      </c>
      <c r="G46" s="9">
        <f t="shared" si="8"/>
        <v>339635.4</v>
      </c>
      <c r="H46" s="9">
        <f t="shared" si="8"/>
        <v>339635.4</v>
      </c>
      <c r="I46" s="9">
        <f t="shared" si="8"/>
        <v>339635.4</v>
      </c>
      <c r="J46" s="9">
        <f t="shared" si="8"/>
        <v>339635.4</v>
      </c>
      <c r="K46" s="9">
        <f t="shared" si="8"/>
        <v>339635.4</v>
      </c>
      <c r="L46" s="9">
        <f t="shared" si="8"/>
        <v>339635.4</v>
      </c>
      <c r="M46" s="9">
        <f t="shared" si="8"/>
        <v>339635.4</v>
      </c>
      <c r="N46" s="8">
        <f t="shared" si="7"/>
        <v>4075624.7999999993</v>
      </c>
    </row>
    <row r="49" spans="1:14" x14ac:dyDescent="0.35">
      <c r="A49" s="3" t="s">
        <v>15</v>
      </c>
      <c r="B49" s="5" t="s">
        <v>23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29</v>
      </c>
      <c r="I49" s="5" t="s">
        <v>30</v>
      </c>
      <c r="J49" s="5" t="s">
        <v>31</v>
      </c>
      <c r="K49" s="5" t="s">
        <v>32</v>
      </c>
      <c r="L49" s="5" t="s">
        <v>33</v>
      </c>
      <c r="M49" s="5" t="s">
        <v>34</v>
      </c>
      <c r="N49" s="5" t="s">
        <v>87</v>
      </c>
    </row>
    <row r="50" spans="1:14" ht="29" x14ac:dyDescent="0.35">
      <c r="A50" s="6" t="s">
        <v>37</v>
      </c>
      <c r="B50" s="9">
        <f>(assumptions!$D$19*assumptions!$D$29)/12</f>
        <v>250637.625</v>
      </c>
      <c r="C50" s="9">
        <f>(assumptions!$D$19*assumptions!$D$29)/12</f>
        <v>250637.625</v>
      </c>
      <c r="D50" s="9">
        <f>(assumptions!$D$19*assumptions!$D$29)/12</f>
        <v>250637.625</v>
      </c>
      <c r="E50" s="9">
        <f>(assumptions!$D$19*assumptions!$D$29)/12</f>
        <v>250637.625</v>
      </c>
      <c r="F50" s="9">
        <f>(assumptions!$D$19*assumptions!$D$29)/12</f>
        <v>250637.625</v>
      </c>
      <c r="G50" s="9">
        <f>(assumptions!$D$19*assumptions!$D$29)/12</f>
        <v>250637.625</v>
      </c>
      <c r="H50" s="9">
        <f>(assumptions!$D$19*assumptions!$D$29)/12</f>
        <v>250637.625</v>
      </c>
      <c r="I50" s="9">
        <f>(assumptions!$D$19*assumptions!$D$29)/12</f>
        <v>250637.625</v>
      </c>
      <c r="J50" s="9">
        <f>(assumptions!$D$19*assumptions!$D$29)/12</f>
        <v>250637.625</v>
      </c>
      <c r="K50" s="9">
        <f>(assumptions!$D$19*assumptions!$D$29)/12</f>
        <v>250637.625</v>
      </c>
      <c r="L50" s="9">
        <f>(assumptions!$D$19*assumptions!$D$29)/12</f>
        <v>250637.625</v>
      </c>
      <c r="M50" s="9">
        <f>(assumptions!$D$19*assumptions!$D$29)/12</f>
        <v>250637.625</v>
      </c>
      <c r="N50" s="9">
        <f>SUM(B50:M50)</f>
        <v>3007651.5</v>
      </c>
    </row>
    <row r="51" spans="1:14" ht="29" x14ac:dyDescent="0.35">
      <c r="A51" s="6" t="s">
        <v>38</v>
      </c>
      <c r="B51" s="9">
        <f>B50*assumptions!$D$33</f>
        <v>50127.525000000001</v>
      </c>
      <c r="C51" s="9">
        <f>C50*assumptions!$D$33</f>
        <v>50127.525000000001</v>
      </c>
      <c r="D51" s="9">
        <f>D50*assumptions!$D$33</f>
        <v>50127.525000000001</v>
      </c>
      <c r="E51" s="9">
        <f>E50*assumptions!$D$33</f>
        <v>50127.525000000001</v>
      </c>
      <c r="F51" s="9">
        <f>F50*assumptions!$D$33</f>
        <v>50127.525000000001</v>
      </c>
      <c r="G51" s="9">
        <f>G50*assumptions!$D$33</f>
        <v>50127.525000000001</v>
      </c>
      <c r="H51" s="9">
        <f>H50*assumptions!$D$33</f>
        <v>50127.525000000001</v>
      </c>
      <c r="I51" s="9">
        <f>I50*assumptions!$D$33</f>
        <v>50127.525000000001</v>
      </c>
      <c r="J51" s="9">
        <f>J50*assumptions!$D$33</f>
        <v>50127.525000000001</v>
      </c>
      <c r="K51" s="9">
        <f>K50*assumptions!$D$33</f>
        <v>50127.525000000001</v>
      </c>
      <c r="L51" s="9">
        <f>L50*assumptions!$D$33</f>
        <v>50127.525000000001</v>
      </c>
      <c r="M51" s="9">
        <f>M50*assumptions!$D$33</f>
        <v>50127.525000000001</v>
      </c>
      <c r="N51" s="9">
        <f t="shared" ref="N51:N54" si="9">SUM(B51:M51)</f>
        <v>601530.30000000016</v>
      </c>
    </row>
    <row r="52" spans="1:14" ht="29" x14ac:dyDescent="0.35">
      <c r="A52" s="6" t="s">
        <v>40</v>
      </c>
      <c r="B52" s="9">
        <f>(assumptions!$D$19*assumptions!$D$41)/12</f>
        <v>6750</v>
      </c>
      <c r="C52" s="9">
        <f>(assumptions!$D$19*assumptions!$D$41)/12</f>
        <v>6750</v>
      </c>
      <c r="D52" s="9">
        <f>(assumptions!$D$19*assumptions!$D$41)/12</f>
        <v>6750</v>
      </c>
      <c r="E52" s="9">
        <f>(assumptions!$D$19*assumptions!$D$41)/12</f>
        <v>6750</v>
      </c>
      <c r="F52" s="9">
        <f>(assumptions!$D$19*assumptions!$D$41)/12</f>
        <v>6750</v>
      </c>
      <c r="G52" s="9">
        <f>(assumptions!$D$19*assumptions!$D$41)/12</f>
        <v>6750</v>
      </c>
      <c r="H52" s="9">
        <f>(assumptions!$D$19*assumptions!$D$41)/12</f>
        <v>6750</v>
      </c>
      <c r="I52" s="9">
        <f>(assumptions!$D$19*assumptions!$D$41)/12</f>
        <v>6750</v>
      </c>
      <c r="J52" s="9">
        <f>(assumptions!$D$19*assumptions!$D$41)/12</f>
        <v>6750</v>
      </c>
      <c r="K52" s="9">
        <f>(assumptions!$D$19*assumptions!$D$41)/12</f>
        <v>6750</v>
      </c>
      <c r="L52" s="9">
        <f>(assumptions!$D$19*assumptions!$D$41)/12</f>
        <v>6750</v>
      </c>
      <c r="M52" s="9">
        <f>(assumptions!$D$19*assumptions!$D$41)/12</f>
        <v>6750</v>
      </c>
      <c r="N52" s="9">
        <f t="shared" si="9"/>
        <v>81000</v>
      </c>
    </row>
    <row r="53" spans="1:14" ht="43.5" x14ac:dyDescent="0.35">
      <c r="A53" s="6" t="s">
        <v>57</v>
      </c>
      <c r="B53" s="13">
        <f>assumptions!$D$48/12</f>
        <v>37500</v>
      </c>
      <c r="C53" s="13">
        <f>assumptions!$D$48/12</f>
        <v>37500</v>
      </c>
      <c r="D53" s="13">
        <f>assumptions!$D$48/12</f>
        <v>37500</v>
      </c>
      <c r="E53" s="13">
        <f>assumptions!$D$48/12</f>
        <v>37500</v>
      </c>
      <c r="F53" s="13">
        <f>assumptions!$D$48/12</f>
        <v>37500</v>
      </c>
      <c r="G53" s="13">
        <f>assumptions!$D$48/12</f>
        <v>37500</v>
      </c>
      <c r="H53" s="13">
        <f>assumptions!$D$48/12</f>
        <v>37500</v>
      </c>
      <c r="I53" s="13">
        <f>assumptions!$D$48/12</f>
        <v>37500</v>
      </c>
      <c r="J53" s="13">
        <f>assumptions!$D$48/12</f>
        <v>37500</v>
      </c>
      <c r="K53" s="13">
        <f>assumptions!$D$48/12</f>
        <v>37500</v>
      </c>
      <c r="L53" s="13">
        <f>assumptions!$D$48/12</f>
        <v>37500</v>
      </c>
      <c r="M53" s="13">
        <f>assumptions!$D$48/12</f>
        <v>37500</v>
      </c>
      <c r="N53" s="9">
        <f t="shared" si="9"/>
        <v>450000</v>
      </c>
    </row>
    <row r="54" spans="1:14" ht="29" x14ac:dyDescent="0.35">
      <c r="A54" s="6" t="s">
        <v>58</v>
      </c>
      <c r="B54" s="9">
        <f>(assumptions!$D$49*assumptions!$D$19)/12</f>
        <v>13500</v>
      </c>
      <c r="C54" s="9">
        <f>(assumptions!$D$49*assumptions!$D$19)/12</f>
        <v>13500</v>
      </c>
      <c r="D54" s="9">
        <f>(assumptions!$D$49*assumptions!$D$19)/12</f>
        <v>13500</v>
      </c>
      <c r="E54" s="9">
        <f>(assumptions!$D$49*assumptions!$D$19)/12</f>
        <v>13500</v>
      </c>
      <c r="F54" s="9">
        <f>(assumptions!$D$49*assumptions!$D$19)/12</f>
        <v>13500</v>
      </c>
      <c r="G54" s="9">
        <f>(assumptions!$D$49*assumptions!$D$19)/12</f>
        <v>13500</v>
      </c>
      <c r="H54" s="9">
        <f>(assumptions!$D$49*assumptions!$D$19)/12</f>
        <v>13500</v>
      </c>
      <c r="I54" s="9">
        <f>(assumptions!$D$49*assumptions!$D$19)/12</f>
        <v>13500</v>
      </c>
      <c r="J54" s="9">
        <f>(assumptions!$D$49*assumptions!$D$19)/12</f>
        <v>13500</v>
      </c>
      <c r="K54" s="9">
        <f>(assumptions!$D$49*assumptions!$D$19)/12</f>
        <v>13500</v>
      </c>
      <c r="L54" s="9">
        <f>(assumptions!$D$49*assumptions!$D$19)/12</f>
        <v>13500</v>
      </c>
      <c r="M54" s="9">
        <f>(assumptions!$D$49*assumptions!$D$19)/12</f>
        <v>13500</v>
      </c>
      <c r="N54" s="9">
        <f t="shared" si="9"/>
        <v>162000</v>
      </c>
    </row>
    <row r="55" spans="1:14" ht="29" x14ac:dyDescent="0.35">
      <c r="A55" s="7" t="s">
        <v>59</v>
      </c>
      <c r="B55" s="9">
        <f>SUM(B50:B54)</f>
        <v>358515.15</v>
      </c>
      <c r="C55" s="9">
        <f t="shared" ref="C55:M55" si="10">SUM(C50:C54)</f>
        <v>358515.15</v>
      </c>
      <c r="D55" s="9">
        <f t="shared" si="10"/>
        <v>358515.15</v>
      </c>
      <c r="E55" s="9">
        <f t="shared" si="10"/>
        <v>358515.15</v>
      </c>
      <c r="F55" s="9">
        <f t="shared" si="10"/>
        <v>358515.15</v>
      </c>
      <c r="G55" s="9">
        <f t="shared" si="10"/>
        <v>358515.15</v>
      </c>
      <c r="H55" s="9">
        <f t="shared" si="10"/>
        <v>358515.15</v>
      </c>
      <c r="I55" s="9">
        <f t="shared" si="10"/>
        <v>358515.15</v>
      </c>
      <c r="J55" s="9">
        <f t="shared" si="10"/>
        <v>358515.15</v>
      </c>
      <c r="K55" s="9">
        <f t="shared" si="10"/>
        <v>358515.15</v>
      </c>
      <c r="L55" s="9">
        <f t="shared" si="10"/>
        <v>358515.15</v>
      </c>
      <c r="M55" s="9">
        <f t="shared" si="10"/>
        <v>358515.15</v>
      </c>
      <c r="N55" s="9">
        <f>SUM(B55:M55)</f>
        <v>4302181.8</v>
      </c>
    </row>
    <row r="58" spans="1:14" ht="29" x14ac:dyDescent="0.35">
      <c r="A58" s="3" t="s">
        <v>88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29</v>
      </c>
      <c r="I58" s="5" t="s">
        <v>30</v>
      </c>
      <c r="J58" s="5" t="s">
        <v>31</v>
      </c>
      <c r="K58" s="5" t="s">
        <v>32</v>
      </c>
      <c r="L58" s="5" t="s">
        <v>33</v>
      </c>
      <c r="M58" s="5" t="s">
        <v>34</v>
      </c>
      <c r="N58" s="5" t="s">
        <v>87</v>
      </c>
    </row>
    <row r="59" spans="1:14" x14ac:dyDescent="0.35">
      <c r="A59" s="6" t="s">
        <v>6</v>
      </c>
      <c r="B59" s="16">
        <f>B4</f>
        <v>3703000.0000000005</v>
      </c>
      <c r="C59" s="16">
        <f t="shared" ref="C59:M59" si="11">C4</f>
        <v>3703000.0000000005</v>
      </c>
      <c r="D59" s="16">
        <f t="shared" si="11"/>
        <v>4232000</v>
      </c>
      <c r="E59" s="16">
        <f t="shared" si="11"/>
        <v>4232000</v>
      </c>
      <c r="F59" s="16">
        <f t="shared" si="11"/>
        <v>4232000</v>
      </c>
      <c r="G59" s="16">
        <f t="shared" si="11"/>
        <v>4232000</v>
      </c>
      <c r="H59" s="16">
        <f t="shared" si="11"/>
        <v>4232000</v>
      </c>
      <c r="I59" s="16">
        <f t="shared" si="11"/>
        <v>4232000</v>
      </c>
      <c r="J59" s="16">
        <f t="shared" si="11"/>
        <v>4761000</v>
      </c>
      <c r="K59" s="16">
        <f t="shared" si="11"/>
        <v>4761000</v>
      </c>
      <c r="L59" s="16">
        <f t="shared" si="11"/>
        <v>4761000</v>
      </c>
      <c r="M59" s="16">
        <f t="shared" si="11"/>
        <v>5819000</v>
      </c>
      <c r="N59" s="18">
        <f>SUM(B59:M59)</f>
        <v>52900000</v>
      </c>
    </row>
    <row r="60" spans="1:14" x14ac:dyDescent="0.35">
      <c r="A60" s="6"/>
      <c r="B60" s="6"/>
      <c r="C60" s="6"/>
      <c r="D60" s="6"/>
      <c r="E60" s="6"/>
      <c r="F60" s="6"/>
      <c r="G60" s="19"/>
      <c r="H60" s="19"/>
      <c r="I60" s="19"/>
      <c r="J60" s="19"/>
      <c r="K60" s="19"/>
      <c r="L60" s="19"/>
      <c r="M60" s="19"/>
      <c r="N60" s="18"/>
    </row>
    <row r="61" spans="1:14" x14ac:dyDescent="0.35">
      <c r="A61" s="6" t="s">
        <v>64</v>
      </c>
      <c r="B61" s="16">
        <f>B13</f>
        <v>838175</v>
      </c>
      <c r="C61" s="16">
        <f t="shared" ref="C61:M61" si="12">C13</f>
        <v>838175</v>
      </c>
      <c r="D61" s="16">
        <f t="shared" si="12"/>
        <v>861980</v>
      </c>
      <c r="E61" s="16">
        <f t="shared" si="12"/>
        <v>861980</v>
      </c>
      <c r="F61" s="16">
        <f t="shared" si="12"/>
        <v>861980</v>
      </c>
      <c r="G61" s="16">
        <f t="shared" si="12"/>
        <v>861980</v>
      </c>
      <c r="H61" s="16">
        <f t="shared" si="12"/>
        <v>861980</v>
      </c>
      <c r="I61" s="16">
        <f t="shared" si="12"/>
        <v>861980</v>
      </c>
      <c r="J61" s="16">
        <f t="shared" si="12"/>
        <v>885785</v>
      </c>
      <c r="K61" s="16">
        <f t="shared" si="12"/>
        <v>885785</v>
      </c>
      <c r="L61" s="16">
        <f t="shared" si="12"/>
        <v>885785</v>
      </c>
      <c r="M61" s="16">
        <f t="shared" si="12"/>
        <v>933395</v>
      </c>
      <c r="N61" s="18">
        <f t="shared" ref="N61:N67" si="13">SUM(B61:M61)</f>
        <v>10438980</v>
      </c>
    </row>
    <row r="62" spans="1:14" ht="29" x14ac:dyDescent="0.35">
      <c r="A62" s="6" t="s">
        <v>65</v>
      </c>
      <c r="B62" s="16">
        <f>B22</f>
        <v>475065.20000000007</v>
      </c>
      <c r="C62" s="16">
        <f t="shared" ref="C62:M62" si="14">C22</f>
        <v>475065.20000000007</v>
      </c>
      <c r="D62" s="16">
        <f t="shared" si="14"/>
        <v>506805.2</v>
      </c>
      <c r="E62" s="16">
        <f t="shared" si="14"/>
        <v>506805.2</v>
      </c>
      <c r="F62" s="16">
        <f t="shared" si="14"/>
        <v>506805.2</v>
      </c>
      <c r="G62" s="16">
        <f t="shared" si="14"/>
        <v>506805.2</v>
      </c>
      <c r="H62" s="16">
        <f t="shared" si="14"/>
        <v>506805.2</v>
      </c>
      <c r="I62" s="16">
        <f t="shared" si="14"/>
        <v>506805.2</v>
      </c>
      <c r="J62" s="16">
        <f t="shared" si="14"/>
        <v>538545.19999999995</v>
      </c>
      <c r="K62" s="16">
        <f t="shared" si="14"/>
        <v>538545.19999999995</v>
      </c>
      <c r="L62" s="16">
        <f t="shared" si="14"/>
        <v>538545.19999999995</v>
      </c>
      <c r="M62" s="16">
        <f t="shared" si="14"/>
        <v>602025.19999999995</v>
      </c>
      <c r="N62" s="18">
        <f t="shared" si="13"/>
        <v>6208622.4000000013</v>
      </c>
    </row>
    <row r="63" spans="1:14" ht="29" x14ac:dyDescent="0.35">
      <c r="A63" s="6" t="s">
        <v>66</v>
      </c>
      <c r="B63" s="20">
        <f>B30</f>
        <v>1343036.3</v>
      </c>
      <c r="C63" s="20">
        <f t="shared" ref="C63:M63" si="15">C30</f>
        <v>1343036.3</v>
      </c>
      <c r="D63" s="20">
        <f t="shared" si="15"/>
        <v>1364196.3</v>
      </c>
      <c r="E63" s="20">
        <f t="shared" si="15"/>
        <v>1364196.3</v>
      </c>
      <c r="F63" s="20">
        <f t="shared" si="15"/>
        <v>1364196.3</v>
      </c>
      <c r="G63" s="20">
        <f t="shared" si="15"/>
        <v>1364196.3</v>
      </c>
      <c r="H63" s="20">
        <f t="shared" si="15"/>
        <v>1364196.3</v>
      </c>
      <c r="I63" s="20">
        <f t="shared" si="15"/>
        <v>1364196.3</v>
      </c>
      <c r="J63" s="20">
        <f t="shared" si="15"/>
        <v>1385356.3</v>
      </c>
      <c r="K63" s="20">
        <f t="shared" si="15"/>
        <v>1385356.3</v>
      </c>
      <c r="L63" s="20">
        <f t="shared" si="15"/>
        <v>1385356.3</v>
      </c>
      <c r="M63" s="20">
        <f t="shared" si="15"/>
        <v>1427676.3</v>
      </c>
      <c r="N63" s="18">
        <f t="shared" si="13"/>
        <v>16454995.600000003</v>
      </c>
    </row>
    <row r="64" spans="1:14" ht="29" x14ac:dyDescent="0.35">
      <c r="A64" s="6" t="s">
        <v>67</v>
      </c>
      <c r="B64" s="20">
        <f>B38</f>
        <v>283797.08333333331</v>
      </c>
      <c r="C64" s="20">
        <f t="shared" ref="C64:M64" si="16">C38</f>
        <v>283797.08333333331</v>
      </c>
      <c r="D64" s="20">
        <f t="shared" si="16"/>
        <v>283797.08333333331</v>
      </c>
      <c r="E64" s="20">
        <f t="shared" si="16"/>
        <v>283797.08333333331</v>
      </c>
      <c r="F64" s="20">
        <f t="shared" si="16"/>
        <v>283797.08333333331</v>
      </c>
      <c r="G64" s="20">
        <f t="shared" si="16"/>
        <v>283797.08333333331</v>
      </c>
      <c r="H64" s="20">
        <f t="shared" si="16"/>
        <v>283797.08333333331</v>
      </c>
      <c r="I64" s="20">
        <f t="shared" si="16"/>
        <v>283797.08333333331</v>
      </c>
      <c r="J64" s="20">
        <f t="shared" si="16"/>
        <v>283797.08333333331</v>
      </c>
      <c r="K64" s="20">
        <f t="shared" si="16"/>
        <v>283797.08333333331</v>
      </c>
      <c r="L64" s="20">
        <f t="shared" si="16"/>
        <v>283797.08333333331</v>
      </c>
      <c r="M64" s="20">
        <f t="shared" si="16"/>
        <v>283797.08333333331</v>
      </c>
      <c r="N64" s="18">
        <f t="shared" si="13"/>
        <v>3405565.0000000005</v>
      </c>
    </row>
    <row r="65" spans="1:14" ht="43.5" x14ac:dyDescent="0.35">
      <c r="A65" s="6" t="s">
        <v>68</v>
      </c>
      <c r="B65" s="20">
        <f>B46</f>
        <v>339635.4</v>
      </c>
      <c r="C65" s="20">
        <f t="shared" ref="C65:M65" si="17">C46</f>
        <v>339635.4</v>
      </c>
      <c r="D65" s="20">
        <f t="shared" si="17"/>
        <v>339635.4</v>
      </c>
      <c r="E65" s="20">
        <f t="shared" si="17"/>
        <v>339635.4</v>
      </c>
      <c r="F65" s="20">
        <f t="shared" si="17"/>
        <v>339635.4</v>
      </c>
      <c r="G65" s="20">
        <f t="shared" si="17"/>
        <v>339635.4</v>
      </c>
      <c r="H65" s="20">
        <f t="shared" si="17"/>
        <v>339635.4</v>
      </c>
      <c r="I65" s="20">
        <f t="shared" si="17"/>
        <v>339635.4</v>
      </c>
      <c r="J65" s="20">
        <f t="shared" si="17"/>
        <v>339635.4</v>
      </c>
      <c r="K65" s="20">
        <f t="shared" si="17"/>
        <v>339635.4</v>
      </c>
      <c r="L65" s="20">
        <f t="shared" si="17"/>
        <v>339635.4</v>
      </c>
      <c r="M65" s="20">
        <f t="shared" si="17"/>
        <v>339635.4</v>
      </c>
      <c r="N65" s="18">
        <f t="shared" si="13"/>
        <v>4075624.7999999993</v>
      </c>
    </row>
    <row r="66" spans="1:14" x14ac:dyDescent="0.35">
      <c r="A66" s="6" t="s">
        <v>69</v>
      </c>
      <c r="B66" s="20">
        <f>B55</f>
        <v>358515.15</v>
      </c>
      <c r="C66" s="20">
        <f t="shared" ref="C66:M66" si="18">C55</f>
        <v>358515.15</v>
      </c>
      <c r="D66" s="20">
        <f t="shared" si="18"/>
        <v>358515.15</v>
      </c>
      <c r="E66" s="20">
        <f t="shared" si="18"/>
        <v>358515.15</v>
      </c>
      <c r="F66" s="20">
        <f t="shared" si="18"/>
        <v>358515.15</v>
      </c>
      <c r="G66" s="20">
        <f t="shared" si="18"/>
        <v>358515.15</v>
      </c>
      <c r="H66" s="20">
        <f t="shared" si="18"/>
        <v>358515.15</v>
      </c>
      <c r="I66" s="20">
        <f t="shared" si="18"/>
        <v>358515.15</v>
      </c>
      <c r="J66" s="20">
        <f t="shared" si="18"/>
        <v>358515.15</v>
      </c>
      <c r="K66" s="20">
        <f t="shared" si="18"/>
        <v>358515.15</v>
      </c>
      <c r="L66" s="20">
        <f t="shared" si="18"/>
        <v>358515.15</v>
      </c>
      <c r="M66" s="20">
        <f t="shared" si="18"/>
        <v>358515.15</v>
      </c>
      <c r="N66" s="18">
        <f t="shared" si="13"/>
        <v>4302181.8</v>
      </c>
    </row>
    <row r="67" spans="1:14" ht="43.5" x14ac:dyDescent="0.35">
      <c r="A67" s="7" t="s">
        <v>70</v>
      </c>
      <c r="B67" s="16">
        <f>SUM(B61:B66)</f>
        <v>3638224.1333333333</v>
      </c>
      <c r="C67" s="16">
        <f t="shared" ref="C67:M67" si="19">SUM(C61:C66)</f>
        <v>3638224.1333333333</v>
      </c>
      <c r="D67" s="16">
        <f t="shared" si="19"/>
        <v>3714929.1333333333</v>
      </c>
      <c r="E67" s="16">
        <f t="shared" si="19"/>
        <v>3714929.1333333333</v>
      </c>
      <c r="F67" s="16">
        <f t="shared" si="19"/>
        <v>3714929.1333333333</v>
      </c>
      <c r="G67" s="16">
        <f t="shared" si="19"/>
        <v>3714929.1333333333</v>
      </c>
      <c r="H67" s="16">
        <f t="shared" si="19"/>
        <v>3714929.1333333333</v>
      </c>
      <c r="I67" s="16">
        <f t="shared" si="19"/>
        <v>3714929.1333333333</v>
      </c>
      <c r="J67" s="16">
        <f t="shared" si="19"/>
        <v>3791634.1333333333</v>
      </c>
      <c r="K67" s="16">
        <f t="shared" si="19"/>
        <v>3791634.1333333333</v>
      </c>
      <c r="L67" s="16">
        <f t="shared" si="19"/>
        <v>3791634.1333333333</v>
      </c>
      <c r="M67" s="16">
        <f t="shared" si="19"/>
        <v>3945044.1333333333</v>
      </c>
      <c r="N67" s="18">
        <f t="shared" si="13"/>
        <v>44885969.600000001</v>
      </c>
    </row>
    <row r="68" spans="1:14" x14ac:dyDescent="0.35">
      <c r="A68" s="6"/>
      <c r="B68" s="6"/>
      <c r="C68" s="6"/>
      <c r="D68" s="6"/>
      <c r="E68" s="6"/>
      <c r="F68" s="6"/>
      <c r="G68" s="19"/>
      <c r="H68" s="19"/>
      <c r="I68" s="19"/>
      <c r="J68" s="19"/>
      <c r="K68" s="19"/>
      <c r="L68" s="19"/>
      <c r="M68" s="19"/>
      <c r="N68" s="19"/>
    </row>
    <row r="69" spans="1:14" ht="29" x14ac:dyDescent="0.35">
      <c r="A69" s="7" t="s">
        <v>71</v>
      </c>
      <c r="B69" s="16">
        <f>B59-B67</f>
        <v>64775.866666667163</v>
      </c>
      <c r="C69" s="16">
        <f t="shared" ref="C69:N69" si="20">C59-C67</f>
        <v>64775.866666667163</v>
      </c>
      <c r="D69" s="16">
        <f t="shared" si="20"/>
        <v>517070.8666666667</v>
      </c>
      <c r="E69" s="16">
        <f t="shared" si="20"/>
        <v>517070.8666666667</v>
      </c>
      <c r="F69" s="16">
        <f t="shared" si="20"/>
        <v>517070.8666666667</v>
      </c>
      <c r="G69" s="16">
        <f t="shared" si="20"/>
        <v>517070.8666666667</v>
      </c>
      <c r="H69" s="16">
        <f t="shared" si="20"/>
        <v>517070.8666666667</v>
      </c>
      <c r="I69" s="16">
        <f t="shared" si="20"/>
        <v>517070.8666666667</v>
      </c>
      <c r="J69" s="16">
        <f t="shared" si="20"/>
        <v>969365.8666666667</v>
      </c>
      <c r="K69" s="16">
        <f t="shared" si="20"/>
        <v>969365.8666666667</v>
      </c>
      <c r="L69" s="16">
        <f t="shared" si="20"/>
        <v>969365.8666666667</v>
      </c>
      <c r="M69" s="16">
        <f t="shared" si="20"/>
        <v>1873955.8666666667</v>
      </c>
      <c r="N69" s="16">
        <f t="shared" si="20"/>
        <v>8014030.3999999985</v>
      </c>
    </row>
    <row r="70" spans="1:14" ht="29" x14ac:dyDescent="0.35">
      <c r="A70" s="7" t="s">
        <v>72</v>
      </c>
      <c r="B70" s="21">
        <f>B69/B59</f>
        <v>1.7492807633450489E-2</v>
      </c>
      <c r="C70" s="21">
        <f t="shared" ref="C70:M70" si="21">C69/C59</f>
        <v>1.7492807633450489E-2</v>
      </c>
      <c r="D70" s="21">
        <f t="shared" si="21"/>
        <v>0.12218120667926907</v>
      </c>
      <c r="E70" s="21">
        <f t="shared" si="21"/>
        <v>0.12218120667926907</v>
      </c>
      <c r="F70" s="21">
        <f t="shared" si="21"/>
        <v>0.12218120667926907</v>
      </c>
      <c r="G70" s="21">
        <f t="shared" si="21"/>
        <v>0.12218120667926907</v>
      </c>
      <c r="H70" s="21">
        <f t="shared" si="21"/>
        <v>0.12218120667926907</v>
      </c>
      <c r="I70" s="21">
        <f t="shared" si="21"/>
        <v>0.12218120667926907</v>
      </c>
      <c r="J70" s="21">
        <f t="shared" si="21"/>
        <v>0.20360551704823918</v>
      </c>
      <c r="K70" s="21">
        <f t="shared" si="21"/>
        <v>0.20360551704823918</v>
      </c>
      <c r="L70" s="21">
        <f t="shared" si="21"/>
        <v>0.20360551704823918</v>
      </c>
      <c r="M70" s="21">
        <f t="shared" si="21"/>
        <v>0.32204087758492295</v>
      </c>
      <c r="N70" s="21">
        <f>N69/N59</f>
        <v>0.15149395841209828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DE34-E421-465F-A44A-8967D8699D46}">
  <dimension ref="A1:N70"/>
  <sheetViews>
    <sheetView topLeftCell="A64" workbookViewId="0"/>
  </sheetViews>
  <sheetFormatPr defaultRowHeight="14.5" x14ac:dyDescent="0.35"/>
  <cols>
    <col min="1" max="1" width="13.26953125" customWidth="1"/>
    <col min="2" max="2" width="19.26953125" bestFit="1" customWidth="1"/>
    <col min="3" max="13" width="15.54296875" bestFit="1" customWidth="1"/>
    <col min="14" max="14" width="14.54296875" bestFit="1" customWidth="1"/>
  </cols>
  <sheetData>
    <row r="1" spans="1:14" ht="29" x14ac:dyDescent="0.35">
      <c r="A1" s="3" t="s">
        <v>89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</row>
    <row r="2" spans="1:14" ht="29" x14ac:dyDescent="0.35">
      <c r="A2" s="6" t="s">
        <v>4</v>
      </c>
      <c r="B2" s="9">
        <v>2420000</v>
      </c>
      <c r="C2" s="9">
        <v>2440000</v>
      </c>
      <c r="D2" s="9">
        <v>2720000</v>
      </c>
      <c r="E2" s="9">
        <v>2760000</v>
      </c>
      <c r="F2" s="9">
        <v>2790000</v>
      </c>
      <c r="G2" s="9">
        <v>2820000</v>
      </c>
      <c r="H2" s="9">
        <v>2840000</v>
      </c>
      <c r="I2" s="9">
        <v>2870000</v>
      </c>
      <c r="J2" s="9">
        <v>3180000</v>
      </c>
      <c r="K2" s="9">
        <v>3220000</v>
      </c>
      <c r="L2" s="9">
        <v>3270000</v>
      </c>
      <c r="M2" s="9">
        <v>3670000</v>
      </c>
      <c r="N2" s="22">
        <f>SUM(B2:M2)</f>
        <v>35000000</v>
      </c>
    </row>
    <row r="3" spans="1:14" ht="43.5" x14ac:dyDescent="0.35">
      <c r="A3" s="6" t="s">
        <v>5</v>
      </c>
      <c r="B3" s="9">
        <v>270000</v>
      </c>
      <c r="C3" s="9">
        <v>275000</v>
      </c>
      <c r="D3" s="9">
        <v>305000</v>
      </c>
      <c r="E3" s="9">
        <v>310000</v>
      </c>
      <c r="F3" s="9">
        <v>315000</v>
      </c>
      <c r="G3" s="9">
        <v>315000</v>
      </c>
      <c r="H3" s="9">
        <v>320000</v>
      </c>
      <c r="I3" s="9">
        <v>325000</v>
      </c>
      <c r="J3" s="9">
        <v>360000</v>
      </c>
      <c r="K3" s="9">
        <v>365000</v>
      </c>
      <c r="L3" s="9">
        <v>375000</v>
      </c>
      <c r="M3" s="9">
        <v>465000</v>
      </c>
      <c r="N3" s="22">
        <f>SUM(B3:M3)</f>
        <v>4000000</v>
      </c>
    </row>
    <row r="4" spans="1:14" x14ac:dyDescent="0.35">
      <c r="A4" s="7" t="s">
        <v>6</v>
      </c>
      <c r="B4" s="9">
        <f>SUM(B2:B3)</f>
        <v>2690000</v>
      </c>
      <c r="C4" s="9">
        <f t="shared" ref="C4:M4" si="0">SUM(C2:C3)</f>
        <v>2715000</v>
      </c>
      <c r="D4" s="9">
        <f t="shared" si="0"/>
        <v>3025000</v>
      </c>
      <c r="E4" s="9">
        <f t="shared" si="0"/>
        <v>3070000</v>
      </c>
      <c r="F4" s="9">
        <f t="shared" si="0"/>
        <v>3105000</v>
      </c>
      <c r="G4" s="9">
        <f t="shared" si="0"/>
        <v>3135000</v>
      </c>
      <c r="H4" s="9">
        <f t="shared" si="0"/>
        <v>3160000</v>
      </c>
      <c r="I4" s="9">
        <f t="shared" si="0"/>
        <v>3195000</v>
      </c>
      <c r="J4" s="9">
        <f t="shared" si="0"/>
        <v>3540000</v>
      </c>
      <c r="K4" s="9">
        <f t="shared" si="0"/>
        <v>3585000</v>
      </c>
      <c r="L4" s="9">
        <f t="shared" si="0"/>
        <v>3645000</v>
      </c>
      <c r="M4" s="9">
        <f t="shared" si="0"/>
        <v>4135000</v>
      </c>
      <c r="N4" s="22">
        <f>SUM(B4:M4)</f>
        <v>39000000</v>
      </c>
    </row>
    <row r="7" spans="1:14" ht="29" x14ac:dyDescent="0.35">
      <c r="A7" s="3" t="s">
        <v>90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35</v>
      </c>
    </row>
    <row r="8" spans="1:14" ht="29" x14ac:dyDescent="0.35">
      <c r="A8" s="6" t="s">
        <v>37</v>
      </c>
      <c r="B8" s="9">
        <v>400000</v>
      </c>
      <c r="C8" s="9">
        <v>400000</v>
      </c>
      <c r="D8" s="9">
        <v>405000</v>
      </c>
      <c r="E8" s="9">
        <v>405000</v>
      </c>
      <c r="F8" s="9">
        <v>405000</v>
      </c>
      <c r="G8" s="9">
        <v>410000</v>
      </c>
      <c r="H8" s="9">
        <v>410000</v>
      </c>
      <c r="I8" s="9">
        <v>410000</v>
      </c>
      <c r="J8" s="9">
        <v>415000</v>
      </c>
      <c r="K8" s="9">
        <v>415000</v>
      </c>
      <c r="L8" s="9">
        <v>415000</v>
      </c>
      <c r="M8" s="9">
        <v>420000</v>
      </c>
      <c r="N8" s="22">
        <f>SUM(B8:M8)</f>
        <v>4910000</v>
      </c>
    </row>
    <row r="9" spans="1:14" ht="29" x14ac:dyDescent="0.35">
      <c r="A9" s="6" t="s">
        <v>38</v>
      </c>
      <c r="B9" s="9">
        <v>80000</v>
      </c>
      <c r="C9" s="9">
        <v>80000</v>
      </c>
      <c r="D9" s="9">
        <v>81000</v>
      </c>
      <c r="E9" s="9">
        <v>81000</v>
      </c>
      <c r="F9" s="9">
        <v>81000</v>
      </c>
      <c r="G9" s="9">
        <v>82000</v>
      </c>
      <c r="H9" s="9">
        <v>82000</v>
      </c>
      <c r="I9" s="9">
        <v>82000</v>
      </c>
      <c r="J9" s="9">
        <v>83000</v>
      </c>
      <c r="K9" s="9">
        <v>83000</v>
      </c>
      <c r="L9" s="9">
        <v>83000</v>
      </c>
      <c r="M9" s="9">
        <v>84000</v>
      </c>
      <c r="N9" s="22">
        <f t="shared" ref="N9:N13" si="1">SUM(B9:M9)</f>
        <v>982000</v>
      </c>
    </row>
    <row r="10" spans="1:14" ht="29" x14ac:dyDescent="0.35">
      <c r="A10" s="6" t="s">
        <v>39</v>
      </c>
      <c r="B10" s="9">
        <v>121000</v>
      </c>
      <c r="C10" s="9">
        <v>122000</v>
      </c>
      <c r="D10" s="9">
        <v>136000</v>
      </c>
      <c r="E10" s="9">
        <v>138000</v>
      </c>
      <c r="F10" s="9">
        <v>139500</v>
      </c>
      <c r="G10" s="9">
        <v>141000</v>
      </c>
      <c r="H10" s="9">
        <v>142000</v>
      </c>
      <c r="I10" s="9">
        <v>143500</v>
      </c>
      <c r="J10" s="9">
        <v>159000</v>
      </c>
      <c r="K10" s="9">
        <v>161000</v>
      </c>
      <c r="L10" s="9">
        <v>163500</v>
      </c>
      <c r="M10" s="9">
        <v>183500</v>
      </c>
      <c r="N10" s="22">
        <f t="shared" si="1"/>
        <v>1750000</v>
      </c>
    </row>
    <row r="11" spans="1:14" ht="29" x14ac:dyDescent="0.35">
      <c r="A11" s="6" t="s">
        <v>40</v>
      </c>
      <c r="B11" s="9">
        <v>12000</v>
      </c>
      <c r="C11" s="9">
        <v>12000</v>
      </c>
      <c r="D11" s="9">
        <v>12000</v>
      </c>
      <c r="E11" s="9">
        <v>12000</v>
      </c>
      <c r="F11" s="9">
        <v>12000</v>
      </c>
      <c r="G11" s="9">
        <v>12000</v>
      </c>
      <c r="H11" s="9">
        <v>12000</v>
      </c>
      <c r="I11" s="9">
        <v>12000</v>
      </c>
      <c r="J11" s="9">
        <v>12000</v>
      </c>
      <c r="K11" s="9">
        <v>12000</v>
      </c>
      <c r="L11" s="9">
        <v>12000</v>
      </c>
      <c r="M11" s="9">
        <v>12000</v>
      </c>
      <c r="N11" s="22">
        <f t="shared" si="1"/>
        <v>144000</v>
      </c>
    </row>
    <row r="12" spans="1:14" ht="29" x14ac:dyDescent="0.35">
      <c r="A12" s="6" t="s">
        <v>41</v>
      </c>
      <c r="B12" s="9">
        <v>14000</v>
      </c>
      <c r="C12" s="9">
        <v>15000</v>
      </c>
      <c r="D12" s="9">
        <v>15000</v>
      </c>
      <c r="E12" s="9">
        <v>16000</v>
      </c>
      <c r="F12" s="9">
        <v>16000</v>
      </c>
      <c r="G12" s="9">
        <v>17000</v>
      </c>
      <c r="H12" s="9">
        <v>17000</v>
      </c>
      <c r="I12" s="9">
        <v>17000</v>
      </c>
      <c r="J12" s="9">
        <v>18000</v>
      </c>
      <c r="K12" s="9">
        <v>18000</v>
      </c>
      <c r="L12" s="9">
        <v>19000</v>
      </c>
      <c r="M12" s="9">
        <v>19000</v>
      </c>
      <c r="N12" s="22">
        <f t="shared" si="1"/>
        <v>201000</v>
      </c>
    </row>
    <row r="13" spans="1:14" ht="29" x14ac:dyDescent="0.35">
      <c r="A13" s="7" t="s">
        <v>42</v>
      </c>
      <c r="B13" s="22">
        <f>SUM(B8:B12)</f>
        <v>627000</v>
      </c>
      <c r="C13" s="22">
        <f t="shared" ref="C13:M13" si="2">SUM(C8:C12)</f>
        <v>629000</v>
      </c>
      <c r="D13" s="22">
        <f t="shared" si="2"/>
        <v>649000</v>
      </c>
      <c r="E13" s="22">
        <f t="shared" si="2"/>
        <v>652000</v>
      </c>
      <c r="F13" s="22">
        <f t="shared" si="2"/>
        <v>653500</v>
      </c>
      <c r="G13" s="22">
        <f t="shared" si="2"/>
        <v>662000</v>
      </c>
      <c r="H13" s="22">
        <f t="shared" si="2"/>
        <v>663000</v>
      </c>
      <c r="I13" s="22">
        <f t="shared" si="2"/>
        <v>664500</v>
      </c>
      <c r="J13" s="22">
        <f t="shared" si="2"/>
        <v>687000</v>
      </c>
      <c r="K13" s="22">
        <f t="shared" si="2"/>
        <v>689000</v>
      </c>
      <c r="L13" s="22">
        <f t="shared" si="2"/>
        <v>692500</v>
      </c>
      <c r="M13" s="22">
        <f t="shared" si="2"/>
        <v>718500</v>
      </c>
      <c r="N13" s="22">
        <f t="shared" si="1"/>
        <v>7987000</v>
      </c>
    </row>
    <row r="16" spans="1:14" ht="29" x14ac:dyDescent="0.35">
      <c r="A16" s="3" t="s">
        <v>91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35</v>
      </c>
    </row>
    <row r="17" spans="1:14" ht="29" x14ac:dyDescent="0.35">
      <c r="A17" s="6" t="s">
        <v>37</v>
      </c>
      <c r="B17" s="9">
        <v>156000</v>
      </c>
      <c r="C17" s="9">
        <v>156000</v>
      </c>
      <c r="D17" s="9">
        <v>157000</v>
      </c>
      <c r="E17" s="9">
        <v>157000</v>
      </c>
      <c r="F17" s="9">
        <v>158000</v>
      </c>
      <c r="G17" s="9">
        <v>158000</v>
      </c>
      <c r="H17" s="9">
        <v>159000</v>
      </c>
      <c r="I17" s="9">
        <v>159000</v>
      </c>
      <c r="J17" s="9">
        <v>160000</v>
      </c>
      <c r="K17" s="9">
        <v>160000</v>
      </c>
      <c r="L17" s="9">
        <v>161000</v>
      </c>
      <c r="M17" s="9">
        <v>161000</v>
      </c>
      <c r="N17" s="22">
        <f>SUM(B17:M17)</f>
        <v>1902000</v>
      </c>
    </row>
    <row r="18" spans="1:14" ht="29" x14ac:dyDescent="0.35">
      <c r="A18" s="6" t="s">
        <v>38</v>
      </c>
      <c r="B18" s="9">
        <v>31200</v>
      </c>
      <c r="C18" s="9">
        <v>31200</v>
      </c>
      <c r="D18" s="9">
        <v>31400</v>
      </c>
      <c r="E18" s="9">
        <v>31400</v>
      </c>
      <c r="F18" s="9">
        <v>31600</v>
      </c>
      <c r="G18" s="9">
        <v>31600</v>
      </c>
      <c r="H18" s="9">
        <v>31800</v>
      </c>
      <c r="I18" s="9">
        <v>31800</v>
      </c>
      <c r="J18" s="9">
        <v>32000</v>
      </c>
      <c r="K18" s="9">
        <v>32000</v>
      </c>
      <c r="L18" s="9">
        <v>32200</v>
      </c>
      <c r="M18" s="9">
        <v>32200</v>
      </c>
      <c r="N18" s="22">
        <f t="shared" ref="N18:N22" si="3">SUM(B18:M18)</f>
        <v>380400</v>
      </c>
    </row>
    <row r="19" spans="1:14" ht="29" x14ac:dyDescent="0.35">
      <c r="A19" s="6" t="s">
        <v>49</v>
      </c>
      <c r="B19" s="9">
        <v>180000</v>
      </c>
      <c r="C19" s="9">
        <v>185000</v>
      </c>
      <c r="D19" s="9">
        <v>195000</v>
      </c>
      <c r="E19" s="9">
        <v>200000</v>
      </c>
      <c r="F19" s="9">
        <v>205000</v>
      </c>
      <c r="G19" s="9">
        <v>210000</v>
      </c>
      <c r="H19" s="9">
        <v>215000</v>
      </c>
      <c r="I19" s="9">
        <v>220000</v>
      </c>
      <c r="J19" s="9">
        <v>230000</v>
      </c>
      <c r="K19" s="9">
        <v>235000</v>
      </c>
      <c r="L19" s="9">
        <v>240000</v>
      </c>
      <c r="M19" s="9">
        <v>265000</v>
      </c>
      <c r="N19" s="22">
        <f t="shared" si="3"/>
        <v>2580000</v>
      </c>
    </row>
    <row r="20" spans="1:14" ht="29" x14ac:dyDescent="0.35">
      <c r="A20" s="6" t="s">
        <v>40</v>
      </c>
      <c r="B20" s="9">
        <v>5000</v>
      </c>
      <c r="C20" s="9">
        <v>5000</v>
      </c>
      <c r="D20" s="9">
        <v>5000</v>
      </c>
      <c r="E20" s="9">
        <v>5000</v>
      </c>
      <c r="F20" s="9">
        <v>5000</v>
      </c>
      <c r="G20" s="9">
        <v>5000</v>
      </c>
      <c r="H20" s="9">
        <v>5000</v>
      </c>
      <c r="I20" s="9">
        <v>5000</v>
      </c>
      <c r="J20" s="9">
        <v>5000</v>
      </c>
      <c r="K20" s="9">
        <v>5000</v>
      </c>
      <c r="L20" s="9">
        <v>5000</v>
      </c>
      <c r="M20" s="9">
        <v>5000</v>
      </c>
      <c r="N20" s="22">
        <f t="shared" si="3"/>
        <v>60000</v>
      </c>
    </row>
    <row r="21" spans="1:14" ht="29" x14ac:dyDescent="0.35">
      <c r="A21" s="6" t="s">
        <v>41</v>
      </c>
      <c r="B21" s="9">
        <v>3000</v>
      </c>
      <c r="C21" s="9">
        <v>3000</v>
      </c>
      <c r="D21" s="9">
        <v>3500</v>
      </c>
      <c r="E21" s="9">
        <v>3500</v>
      </c>
      <c r="F21" s="9">
        <v>4000</v>
      </c>
      <c r="G21" s="9">
        <v>4000</v>
      </c>
      <c r="H21" s="9">
        <v>4000</v>
      </c>
      <c r="I21" s="9">
        <v>4500</v>
      </c>
      <c r="J21" s="9">
        <v>4500</v>
      </c>
      <c r="K21" s="9">
        <v>5000</v>
      </c>
      <c r="L21" s="9">
        <v>5000</v>
      </c>
      <c r="M21" s="9">
        <v>6000</v>
      </c>
      <c r="N21" s="22">
        <f t="shared" si="3"/>
        <v>50000</v>
      </c>
    </row>
    <row r="22" spans="1:14" ht="43.5" x14ac:dyDescent="0.35">
      <c r="A22" s="7" t="s">
        <v>50</v>
      </c>
      <c r="B22" s="22">
        <f>SUM(B17:B21)</f>
        <v>375200</v>
      </c>
      <c r="C22" s="22">
        <f t="shared" ref="C22:M22" si="4">SUM(C17:C21)</f>
        <v>380200</v>
      </c>
      <c r="D22" s="22">
        <f t="shared" si="4"/>
        <v>391900</v>
      </c>
      <c r="E22" s="22">
        <f t="shared" si="4"/>
        <v>396900</v>
      </c>
      <c r="F22" s="22">
        <f t="shared" si="4"/>
        <v>403600</v>
      </c>
      <c r="G22" s="22">
        <f t="shared" si="4"/>
        <v>408600</v>
      </c>
      <c r="H22" s="22">
        <f t="shared" si="4"/>
        <v>414800</v>
      </c>
      <c r="I22" s="22">
        <f t="shared" si="4"/>
        <v>420300</v>
      </c>
      <c r="J22" s="22">
        <f t="shared" si="4"/>
        <v>431500</v>
      </c>
      <c r="K22" s="22">
        <f t="shared" si="4"/>
        <v>437000</v>
      </c>
      <c r="L22" s="22">
        <f t="shared" si="4"/>
        <v>443200</v>
      </c>
      <c r="M22" s="22">
        <f t="shared" si="4"/>
        <v>469200</v>
      </c>
      <c r="N22" s="22">
        <f>SUM(B22:M22)</f>
        <v>4972400</v>
      </c>
    </row>
    <row r="25" spans="1:14" ht="29" x14ac:dyDescent="0.35">
      <c r="A25" s="3" t="s">
        <v>92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35</v>
      </c>
    </row>
    <row r="26" spans="1:14" ht="29" x14ac:dyDescent="0.35">
      <c r="A26" s="6" t="s">
        <v>37</v>
      </c>
      <c r="B26" s="9">
        <v>775000</v>
      </c>
      <c r="C26" s="9">
        <v>775000</v>
      </c>
      <c r="D26" s="9">
        <v>780000</v>
      </c>
      <c r="E26" s="9">
        <v>780000</v>
      </c>
      <c r="F26" s="9">
        <v>785000</v>
      </c>
      <c r="G26" s="9">
        <v>785000</v>
      </c>
      <c r="H26" s="9">
        <v>790000</v>
      </c>
      <c r="I26" s="9">
        <v>790000</v>
      </c>
      <c r="J26" s="9">
        <v>795000</v>
      </c>
      <c r="K26" s="9">
        <v>795000</v>
      </c>
      <c r="L26" s="9">
        <v>800000</v>
      </c>
      <c r="M26" s="9">
        <v>800000</v>
      </c>
      <c r="N26" s="22">
        <f>SUM(B26:M26)</f>
        <v>9450000</v>
      </c>
    </row>
    <row r="27" spans="1:14" ht="29" x14ac:dyDescent="0.35">
      <c r="A27" s="6" t="s">
        <v>38</v>
      </c>
      <c r="B27" s="9">
        <v>155000</v>
      </c>
      <c r="C27" s="9">
        <v>155000</v>
      </c>
      <c r="D27" s="9">
        <v>156000</v>
      </c>
      <c r="E27" s="9">
        <v>156000</v>
      </c>
      <c r="F27" s="9">
        <v>157000</v>
      </c>
      <c r="G27" s="9">
        <v>157000</v>
      </c>
      <c r="H27" s="9">
        <v>158000</v>
      </c>
      <c r="I27" s="9">
        <v>158000</v>
      </c>
      <c r="J27" s="9">
        <v>159000</v>
      </c>
      <c r="K27" s="9">
        <v>159000</v>
      </c>
      <c r="L27" s="9">
        <v>160000</v>
      </c>
      <c r="M27" s="9">
        <v>160000</v>
      </c>
      <c r="N27" s="22">
        <f t="shared" ref="N27:N30" si="5">SUM(B27:M27)</f>
        <v>1890000</v>
      </c>
    </row>
    <row r="28" spans="1:14" ht="29" x14ac:dyDescent="0.35">
      <c r="A28" s="6" t="s">
        <v>52</v>
      </c>
      <c r="B28" s="9">
        <v>125000</v>
      </c>
      <c r="C28" s="9">
        <v>130000</v>
      </c>
      <c r="D28" s="9">
        <v>135000</v>
      </c>
      <c r="E28" s="9">
        <v>138000</v>
      </c>
      <c r="F28" s="9">
        <v>140000</v>
      </c>
      <c r="G28" s="9">
        <v>142000</v>
      </c>
      <c r="H28" s="9">
        <v>145000</v>
      </c>
      <c r="I28" s="9">
        <v>148000</v>
      </c>
      <c r="J28" s="9">
        <v>155000</v>
      </c>
      <c r="K28" s="9">
        <v>160000</v>
      </c>
      <c r="L28" s="9">
        <v>165000</v>
      </c>
      <c r="M28" s="9">
        <v>177000</v>
      </c>
      <c r="N28" s="22">
        <f t="shared" si="5"/>
        <v>1760000</v>
      </c>
    </row>
    <row r="29" spans="1:14" ht="29" x14ac:dyDescent="0.35">
      <c r="A29" s="6" t="s">
        <v>40</v>
      </c>
      <c r="B29" s="9">
        <v>17000</v>
      </c>
      <c r="C29" s="9">
        <v>17000</v>
      </c>
      <c r="D29" s="9">
        <v>17000</v>
      </c>
      <c r="E29" s="9">
        <v>17000</v>
      </c>
      <c r="F29" s="9">
        <v>17000</v>
      </c>
      <c r="G29" s="9">
        <v>17000</v>
      </c>
      <c r="H29" s="9">
        <v>17000</v>
      </c>
      <c r="I29" s="9">
        <v>17000</v>
      </c>
      <c r="J29" s="9">
        <v>17000</v>
      </c>
      <c r="K29" s="9">
        <v>17000</v>
      </c>
      <c r="L29" s="9">
        <v>17000</v>
      </c>
      <c r="M29" s="9">
        <v>17000</v>
      </c>
      <c r="N29" s="22">
        <f t="shared" si="5"/>
        <v>204000</v>
      </c>
    </row>
    <row r="30" spans="1:14" ht="43.5" x14ac:dyDescent="0.35">
      <c r="A30" s="7" t="s">
        <v>53</v>
      </c>
      <c r="B30" s="9">
        <f>SUM(B26:B29)</f>
        <v>1072000</v>
      </c>
      <c r="C30" s="9">
        <f t="shared" ref="C30:M30" si="6">SUM(C26:C29)</f>
        <v>1077000</v>
      </c>
      <c r="D30" s="9">
        <f t="shared" si="6"/>
        <v>1088000</v>
      </c>
      <c r="E30" s="9">
        <f t="shared" si="6"/>
        <v>1091000</v>
      </c>
      <c r="F30" s="9">
        <f t="shared" si="6"/>
        <v>1099000</v>
      </c>
      <c r="G30" s="9">
        <f t="shared" si="6"/>
        <v>1101000</v>
      </c>
      <c r="H30" s="9">
        <f t="shared" si="6"/>
        <v>1110000</v>
      </c>
      <c r="I30" s="9">
        <f t="shared" si="6"/>
        <v>1113000</v>
      </c>
      <c r="J30" s="9">
        <f t="shared" si="6"/>
        <v>1126000</v>
      </c>
      <c r="K30" s="9">
        <f t="shared" si="6"/>
        <v>1131000</v>
      </c>
      <c r="L30" s="9">
        <f t="shared" si="6"/>
        <v>1142000</v>
      </c>
      <c r="M30" s="9">
        <f t="shared" si="6"/>
        <v>1154000</v>
      </c>
      <c r="N30" s="22">
        <f t="shared" si="5"/>
        <v>13304000</v>
      </c>
    </row>
    <row r="33" spans="1:14" ht="29" x14ac:dyDescent="0.35">
      <c r="A33" s="3" t="s">
        <v>93</v>
      </c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29</v>
      </c>
      <c r="I33" s="5" t="s">
        <v>30</v>
      </c>
      <c r="J33" s="5" t="s">
        <v>31</v>
      </c>
      <c r="K33" s="5" t="s">
        <v>32</v>
      </c>
      <c r="L33" s="5" t="s">
        <v>33</v>
      </c>
      <c r="M33" s="5" t="s">
        <v>34</v>
      </c>
      <c r="N33" s="5" t="s">
        <v>35</v>
      </c>
    </row>
    <row r="34" spans="1:14" ht="29" x14ac:dyDescent="0.35">
      <c r="A34" s="6" t="s">
        <v>37</v>
      </c>
      <c r="B34" s="9">
        <v>156000</v>
      </c>
      <c r="C34" s="9">
        <v>156000</v>
      </c>
      <c r="D34" s="9">
        <v>156000</v>
      </c>
      <c r="E34" s="9">
        <v>156000</v>
      </c>
      <c r="F34" s="9">
        <v>156000</v>
      </c>
      <c r="G34" s="9">
        <v>156000</v>
      </c>
      <c r="H34" s="9">
        <v>156000</v>
      </c>
      <c r="I34" s="9">
        <v>156000</v>
      </c>
      <c r="J34" s="9">
        <v>157000</v>
      </c>
      <c r="K34" s="9">
        <v>157000</v>
      </c>
      <c r="L34" s="9">
        <v>157000</v>
      </c>
      <c r="M34" s="9">
        <v>157000</v>
      </c>
      <c r="N34" s="22">
        <f>SUM(B34:M34)</f>
        <v>1876000</v>
      </c>
    </row>
    <row r="35" spans="1:14" ht="29" x14ac:dyDescent="0.35">
      <c r="A35" s="6" t="s">
        <v>38</v>
      </c>
      <c r="B35" s="9">
        <v>31200</v>
      </c>
      <c r="C35" s="9">
        <v>31200</v>
      </c>
      <c r="D35" s="9">
        <v>31200</v>
      </c>
      <c r="E35" s="9">
        <v>31200</v>
      </c>
      <c r="F35" s="9">
        <v>31200</v>
      </c>
      <c r="G35" s="9">
        <v>31200</v>
      </c>
      <c r="H35" s="9">
        <v>31200</v>
      </c>
      <c r="I35" s="9">
        <v>31200</v>
      </c>
      <c r="J35" s="9">
        <v>31400</v>
      </c>
      <c r="K35" s="9">
        <v>31400</v>
      </c>
      <c r="L35" s="9">
        <v>31400</v>
      </c>
      <c r="M35" s="9">
        <v>31400</v>
      </c>
      <c r="N35" s="22">
        <f t="shared" ref="N35:N38" si="7">SUM(B35:M35)</f>
        <v>375200</v>
      </c>
    </row>
    <row r="36" spans="1:14" ht="29" x14ac:dyDescent="0.35">
      <c r="A36" s="6" t="s">
        <v>40</v>
      </c>
      <c r="B36" s="9">
        <v>3750</v>
      </c>
      <c r="C36" s="9">
        <v>3750</v>
      </c>
      <c r="D36" s="9">
        <v>3750</v>
      </c>
      <c r="E36" s="9">
        <v>3750</v>
      </c>
      <c r="F36" s="9">
        <v>3750</v>
      </c>
      <c r="G36" s="9">
        <v>3750</v>
      </c>
      <c r="H36" s="9">
        <v>3750</v>
      </c>
      <c r="I36" s="9">
        <v>3750</v>
      </c>
      <c r="J36" s="9">
        <v>3750</v>
      </c>
      <c r="K36" s="9">
        <v>3750</v>
      </c>
      <c r="L36" s="9">
        <v>3750</v>
      </c>
      <c r="M36" s="9">
        <v>3750</v>
      </c>
      <c r="N36" s="22">
        <f t="shared" si="7"/>
        <v>45000</v>
      </c>
    </row>
    <row r="37" spans="1:14" ht="29" x14ac:dyDescent="0.35">
      <c r="A37" s="6" t="s">
        <v>94</v>
      </c>
      <c r="B37" s="9">
        <v>18000</v>
      </c>
      <c r="C37" s="9">
        <v>18000</v>
      </c>
      <c r="D37" s="9">
        <v>20000</v>
      </c>
      <c r="E37" s="9">
        <v>20000</v>
      </c>
      <c r="F37" s="9">
        <v>21000</v>
      </c>
      <c r="G37" s="9">
        <v>21000</v>
      </c>
      <c r="H37" s="9">
        <v>22000</v>
      </c>
      <c r="I37" s="9">
        <v>22000</v>
      </c>
      <c r="J37" s="9">
        <v>24000</v>
      </c>
      <c r="K37" s="9">
        <v>24000</v>
      </c>
      <c r="L37" s="9">
        <v>25000</v>
      </c>
      <c r="M37" s="9">
        <v>25000</v>
      </c>
      <c r="N37" s="22">
        <f t="shared" si="7"/>
        <v>260000</v>
      </c>
    </row>
    <row r="38" spans="1:14" ht="29" x14ac:dyDescent="0.35">
      <c r="A38" s="7" t="s">
        <v>54</v>
      </c>
      <c r="B38" s="22">
        <f>SUM(B34:B37)</f>
        <v>208950</v>
      </c>
      <c r="C38" s="22">
        <f t="shared" ref="C38:M38" si="8">SUM(C34:C37)</f>
        <v>208950</v>
      </c>
      <c r="D38" s="22">
        <f t="shared" si="8"/>
        <v>210950</v>
      </c>
      <c r="E38" s="22">
        <f t="shared" si="8"/>
        <v>210950</v>
      </c>
      <c r="F38" s="22">
        <f t="shared" si="8"/>
        <v>211950</v>
      </c>
      <c r="G38" s="22">
        <f t="shared" si="8"/>
        <v>211950</v>
      </c>
      <c r="H38" s="22">
        <f t="shared" si="8"/>
        <v>212950</v>
      </c>
      <c r="I38" s="22">
        <f t="shared" si="8"/>
        <v>212950</v>
      </c>
      <c r="J38" s="22">
        <f t="shared" si="8"/>
        <v>216150</v>
      </c>
      <c r="K38" s="22">
        <f t="shared" si="8"/>
        <v>216150</v>
      </c>
      <c r="L38" s="22">
        <f t="shared" si="8"/>
        <v>217150</v>
      </c>
      <c r="M38" s="22">
        <f t="shared" si="8"/>
        <v>217150</v>
      </c>
      <c r="N38" s="22">
        <f t="shared" si="7"/>
        <v>2556200</v>
      </c>
    </row>
    <row r="41" spans="1:14" ht="43.5" x14ac:dyDescent="0.35">
      <c r="A41" s="3" t="s">
        <v>95</v>
      </c>
      <c r="B41" s="5" t="s">
        <v>23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29</v>
      </c>
      <c r="I41" s="5" t="s">
        <v>30</v>
      </c>
      <c r="J41" s="5" t="s">
        <v>31</v>
      </c>
      <c r="K41" s="5" t="s">
        <v>32</v>
      </c>
      <c r="L41" s="5" t="s">
        <v>33</v>
      </c>
      <c r="M41" s="5" t="s">
        <v>34</v>
      </c>
      <c r="N41" s="5" t="s">
        <v>35</v>
      </c>
    </row>
    <row r="42" spans="1:14" ht="29" x14ac:dyDescent="0.35">
      <c r="A42" s="6" t="s">
        <v>37</v>
      </c>
      <c r="B42" s="9">
        <v>208000</v>
      </c>
      <c r="C42" s="9">
        <v>208000</v>
      </c>
      <c r="D42" s="9">
        <v>210000</v>
      </c>
      <c r="E42" s="9">
        <v>210000</v>
      </c>
      <c r="F42" s="9">
        <v>211000</v>
      </c>
      <c r="G42" s="9">
        <v>211000</v>
      </c>
      <c r="H42" s="9">
        <v>212000</v>
      </c>
      <c r="I42" s="9">
        <v>212000</v>
      </c>
      <c r="J42" s="9">
        <v>213000</v>
      </c>
      <c r="K42" s="9">
        <v>213000</v>
      </c>
      <c r="L42" s="9">
        <v>214000</v>
      </c>
      <c r="M42" s="9">
        <v>214000</v>
      </c>
      <c r="N42" s="22">
        <f>SUM(B42:M42)</f>
        <v>2536000</v>
      </c>
    </row>
    <row r="43" spans="1:14" ht="29" x14ac:dyDescent="0.35">
      <c r="A43" s="6" t="s">
        <v>38</v>
      </c>
      <c r="B43" s="9">
        <v>41600</v>
      </c>
      <c r="C43" s="9">
        <v>41600</v>
      </c>
      <c r="D43" s="9">
        <v>42000</v>
      </c>
      <c r="E43" s="9">
        <v>42000</v>
      </c>
      <c r="F43" s="9">
        <v>42200</v>
      </c>
      <c r="G43" s="9">
        <v>42200</v>
      </c>
      <c r="H43" s="9">
        <v>42400</v>
      </c>
      <c r="I43" s="9">
        <v>42400</v>
      </c>
      <c r="J43" s="9">
        <v>42600</v>
      </c>
      <c r="K43" s="9">
        <v>42600</v>
      </c>
      <c r="L43" s="9">
        <v>42800</v>
      </c>
      <c r="M43" s="9">
        <v>42800</v>
      </c>
      <c r="N43" s="22">
        <f t="shared" ref="N43:N46" si="9">SUM(B43:M43)</f>
        <v>507200</v>
      </c>
    </row>
    <row r="44" spans="1:14" ht="29" x14ac:dyDescent="0.35">
      <c r="A44" s="6" t="s">
        <v>40</v>
      </c>
      <c r="B44" s="9">
        <v>7500</v>
      </c>
      <c r="C44" s="9">
        <v>7500</v>
      </c>
      <c r="D44" s="9">
        <v>7500</v>
      </c>
      <c r="E44" s="9">
        <v>7500</v>
      </c>
      <c r="F44" s="9">
        <v>7500</v>
      </c>
      <c r="G44" s="9">
        <v>7500</v>
      </c>
      <c r="H44" s="9">
        <v>7500</v>
      </c>
      <c r="I44" s="9">
        <v>7500</v>
      </c>
      <c r="J44" s="9">
        <v>7500</v>
      </c>
      <c r="K44" s="9">
        <v>7500</v>
      </c>
      <c r="L44" s="9">
        <v>7500</v>
      </c>
      <c r="M44" s="9">
        <v>7500</v>
      </c>
      <c r="N44" s="22">
        <f t="shared" si="9"/>
        <v>90000</v>
      </c>
    </row>
    <row r="45" spans="1:14" ht="29" x14ac:dyDescent="0.35">
      <c r="A45" s="6" t="s">
        <v>41</v>
      </c>
      <c r="B45" s="9">
        <v>4000</v>
      </c>
      <c r="C45" s="9">
        <v>4000</v>
      </c>
      <c r="D45" s="9">
        <v>4000</v>
      </c>
      <c r="E45" s="9">
        <v>4500</v>
      </c>
      <c r="F45" s="9">
        <v>4500</v>
      </c>
      <c r="G45" s="9">
        <v>4500</v>
      </c>
      <c r="H45" s="9">
        <v>5000</v>
      </c>
      <c r="I45" s="9">
        <v>5000</v>
      </c>
      <c r="J45" s="9">
        <v>5000</v>
      </c>
      <c r="K45" s="9">
        <v>5000</v>
      </c>
      <c r="L45" s="9">
        <v>5500</v>
      </c>
      <c r="M45" s="9">
        <v>5500</v>
      </c>
      <c r="N45" s="22">
        <f t="shared" si="9"/>
        <v>56500</v>
      </c>
    </row>
    <row r="46" spans="1:14" ht="58" x14ac:dyDescent="0.35">
      <c r="A46" s="7" t="s">
        <v>55</v>
      </c>
      <c r="B46" s="22">
        <f>SUM(B42:B45)</f>
        <v>261100</v>
      </c>
      <c r="C46" s="22">
        <f t="shared" ref="C46:M46" si="10">SUM(C42:C45)</f>
        <v>261100</v>
      </c>
      <c r="D46" s="22">
        <f t="shared" si="10"/>
        <v>263500</v>
      </c>
      <c r="E46" s="22">
        <f t="shared" si="10"/>
        <v>264000</v>
      </c>
      <c r="F46" s="22">
        <f t="shared" si="10"/>
        <v>265200</v>
      </c>
      <c r="G46" s="22">
        <f t="shared" si="10"/>
        <v>265200</v>
      </c>
      <c r="H46" s="22">
        <f t="shared" si="10"/>
        <v>266900</v>
      </c>
      <c r="I46" s="22">
        <f t="shared" si="10"/>
        <v>266900</v>
      </c>
      <c r="J46" s="22">
        <f t="shared" si="10"/>
        <v>268100</v>
      </c>
      <c r="K46" s="22">
        <f t="shared" si="10"/>
        <v>268100</v>
      </c>
      <c r="L46" s="22">
        <f t="shared" si="10"/>
        <v>269800</v>
      </c>
      <c r="M46" s="22">
        <f t="shared" si="10"/>
        <v>269800</v>
      </c>
      <c r="N46" s="22">
        <f t="shared" si="9"/>
        <v>3189700</v>
      </c>
    </row>
    <row r="49" spans="1:14" ht="29" x14ac:dyDescent="0.35">
      <c r="A49" s="3" t="s">
        <v>96</v>
      </c>
      <c r="B49" s="5" t="s">
        <v>23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29</v>
      </c>
      <c r="I49" s="5" t="s">
        <v>30</v>
      </c>
      <c r="J49" s="5" t="s">
        <v>31</v>
      </c>
      <c r="K49" s="5" t="s">
        <v>32</v>
      </c>
      <c r="L49" s="5" t="s">
        <v>33</v>
      </c>
      <c r="M49" s="5" t="s">
        <v>34</v>
      </c>
      <c r="N49" s="5" t="s">
        <v>35</v>
      </c>
    </row>
    <row r="50" spans="1:14" ht="29" x14ac:dyDescent="0.35">
      <c r="A50" s="6" t="s">
        <v>37</v>
      </c>
      <c r="B50" s="9">
        <v>216000</v>
      </c>
      <c r="C50" s="9">
        <v>216000</v>
      </c>
      <c r="D50" s="9">
        <v>217000</v>
      </c>
      <c r="E50" s="9">
        <v>217000</v>
      </c>
      <c r="F50" s="9">
        <v>218000</v>
      </c>
      <c r="G50" s="9">
        <v>218000</v>
      </c>
      <c r="H50" s="9">
        <v>219000</v>
      </c>
      <c r="I50" s="9">
        <v>219000</v>
      </c>
      <c r="J50" s="9">
        <v>220000</v>
      </c>
      <c r="K50" s="9">
        <v>220000</v>
      </c>
      <c r="L50" s="9">
        <v>221000</v>
      </c>
      <c r="M50" s="9">
        <v>221000</v>
      </c>
      <c r="N50" s="22">
        <f>SUM(B50:M50)</f>
        <v>2622000</v>
      </c>
    </row>
    <row r="51" spans="1:14" ht="29" x14ac:dyDescent="0.35">
      <c r="A51" s="6" t="s">
        <v>38</v>
      </c>
      <c r="B51" s="9">
        <v>43200</v>
      </c>
      <c r="C51" s="9">
        <v>43200</v>
      </c>
      <c r="D51" s="9">
        <v>43400</v>
      </c>
      <c r="E51" s="9">
        <v>43400</v>
      </c>
      <c r="F51" s="9">
        <v>43600</v>
      </c>
      <c r="G51" s="9">
        <v>43600</v>
      </c>
      <c r="H51" s="9">
        <v>43800</v>
      </c>
      <c r="I51" s="9">
        <v>43800</v>
      </c>
      <c r="J51" s="9">
        <v>44000</v>
      </c>
      <c r="K51" s="9">
        <v>44000</v>
      </c>
      <c r="L51" s="9">
        <v>44200</v>
      </c>
      <c r="M51" s="9">
        <v>44200</v>
      </c>
      <c r="N51" s="22">
        <f t="shared" ref="N51:N55" si="11">SUM(B51:M51)</f>
        <v>524400</v>
      </c>
    </row>
    <row r="52" spans="1:14" ht="29" x14ac:dyDescent="0.35">
      <c r="A52" s="6" t="s">
        <v>40</v>
      </c>
      <c r="B52" s="9">
        <v>6250</v>
      </c>
      <c r="C52" s="9">
        <v>6250</v>
      </c>
      <c r="D52" s="9">
        <v>6250</v>
      </c>
      <c r="E52" s="9">
        <v>6250</v>
      </c>
      <c r="F52" s="9">
        <v>6250</v>
      </c>
      <c r="G52" s="9">
        <v>6250</v>
      </c>
      <c r="H52" s="9">
        <v>6250</v>
      </c>
      <c r="I52" s="9">
        <v>6250</v>
      </c>
      <c r="J52" s="9">
        <v>6250</v>
      </c>
      <c r="K52" s="9">
        <v>6250</v>
      </c>
      <c r="L52" s="9">
        <v>6250</v>
      </c>
      <c r="M52" s="9">
        <v>6250</v>
      </c>
      <c r="N52" s="22">
        <f t="shared" si="11"/>
        <v>75000</v>
      </c>
    </row>
    <row r="53" spans="1:14" ht="43.5" x14ac:dyDescent="0.35">
      <c r="A53" s="6" t="s">
        <v>57</v>
      </c>
      <c r="B53" s="9">
        <v>30000</v>
      </c>
      <c r="C53" s="9">
        <v>30000</v>
      </c>
      <c r="D53" s="9">
        <v>32000</v>
      </c>
      <c r="E53" s="9">
        <v>32000</v>
      </c>
      <c r="F53" s="9">
        <v>34000</v>
      </c>
      <c r="G53" s="9">
        <v>34000</v>
      </c>
      <c r="H53" s="9">
        <v>35000</v>
      </c>
      <c r="I53" s="9">
        <v>35000</v>
      </c>
      <c r="J53" s="9">
        <v>37000</v>
      </c>
      <c r="K53" s="9">
        <v>37000</v>
      </c>
      <c r="L53" s="9">
        <v>40000</v>
      </c>
      <c r="M53" s="9">
        <v>40000</v>
      </c>
      <c r="N53" s="22">
        <f t="shared" si="11"/>
        <v>416000</v>
      </c>
    </row>
    <row r="54" spans="1:14" ht="29" x14ac:dyDescent="0.35">
      <c r="A54" s="6" t="s">
        <v>58</v>
      </c>
      <c r="B54" s="9">
        <v>12500</v>
      </c>
      <c r="C54" s="9">
        <v>12500</v>
      </c>
      <c r="D54" s="9">
        <v>12500</v>
      </c>
      <c r="E54" s="9">
        <v>12500</v>
      </c>
      <c r="F54" s="9">
        <v>12500</v>
      </c>
      <c r="G54" s="9">
        <v>12500</v>
      </c>
      <c r="H54" s="9">
        <v>12500</v>
      </c>
      <c r="I54" s="9">
        <v>12500</v>
      </c>
      <c r="J54" s="9">
        <v>13000</v>
      </c>
      <c r="K54" s="9">
        <v>13000</v>
      </c>
      <c r="L54" s="9">
        <v>13000</v>
      </c>
      <c r="M54" s="9">
        <v>13000</v>
      </c>
      <c r="N54" s="22">
        <f t="shared" si="11"/>
        <v>152000</v>
      </c>
    </row>
    <row r="55" spans="1:14" ht="29" x14ac:dyDescent="0.35">
      <c r="A55" s="7" t="s">
        <v>59</v>
      </c>
      <c r="B55" s="22">
        <f>SUM(B50:B54)</f>
        <v>307950</v>
      </c>
      <c r="C55" s="22">
        <f t="shared" ref="C55:M55" si="12">SUM(C50:C54)</f>
        <v>307950</v>
      </c>
      <c r="D55" s="22">
        <f t="shared" si="12"/>
        <v>311150</v>
      </c>
      <c r="E55" s="22">
        <f t="shared" si="12"/>
        <v>311150</v>
      </c>
      <c r="F55" s="22">
        <f t="shared" si="12"/>
        <v>314350</v>
      </c>
      <c r="G55" s="22">
        <f t="shared" si="12"/>
        <v>314350</v>
      </c>
      <c r="H55" s="22">
        <f t="shared" si="12"/>
        <v>316550</v>
      </c>
      <c r="I55" s="22">
        <f t="shared" si="12"/>
        <v>316550</v>
      </c>
      <c r="J55" s="22">
        <f t="shared" si="12"/>
        <v>320250</v>
      </c>
      <c r="K55" s="22">
        <f t="shared" si="12"/>
        <v>320250</v>
      </c>
      <c r="L55" s="22">
        <f t="shared" si="12"/>
        <v>324450</v>
      </c>
      <c r="M55" s="22">
        <f t="shared" si="12"/>
        <v>324450</v>
      </c>
      <c r="N55" s="22">
        <f t="shared" si="11"/>
        <v>3789400</v>
      </c>
    </row>
    <row r="58" spans="1:14" ht="29" x14ac:dyDescent="0.35">
      <c r="A58" s="3" t="s">
        <v>97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29</v>
      </c>
      <c r="I58" s="5" t="s">
        <v>30</v>
      </c>
      <c r="J58" s="5" t="s">
        <v>31</v>
      </c>
      <c r="K58" s="5" t="s">
        <v>32</v>
      </c>
      <c r="L58" s="5" t="s">
        <v>33</v>
      </c>
      <c r="M58" s="5" t="s">
        <v>34</v>
      </c>
      <c r="N58" s="5" t="s">
        <v>35</v>
      </c>
    </row>
    <row r="59" spans="1:14" x14ac:dyDescent="0.35">
      <c r="A59" s="6" t="s">
        <v>6</v>
      </c>
      <c r="B59" s="13">
        <f>B4</f>
        <v>2690000</v>
      </c>
      <c r="C59" s="13">
        <f t="shared" ref="C59:M59" si="13">C4</f>
        <v>2715000</v>
      </c>
      <c r="D59" s="13">
        <f t="shared" si="13"/>
        <v>3025000</v>
      </c>
      <c r="E59" s="13">
        <f t="shared" si="13"/>
        <v>3070000</v>
      </c>
      <c r="F59" s="13">
        <f t="shared" si="13"/>
        <v>3105000</v>
      </c>
      <c r="G59" s="13">
        <f t="shared" si="13"/>
        <v>3135000</v>
      </c>
      <c r="H59" s="13">
        <f t="shared" si="13"/>
        <v>3160000</v>
      </c>
      <c r="I59" s="13">
        <f t="shared" si="13"/>
        <v>3195000</v>
      </c>
      <c r="J59" s="13">
        <f t="shared" si="13"/>
        <v>3540000</v>
      </c>
      <c r="K59" s="13">
        <f t="shared" si="13"/>
        <v>3585000</v>
      </c>
      <c r="L59" s="13">
        <f t="shared" si="13"/>
        <v>3645000</v>
      </c>
      <c r="M59" s="13">
        <f t="shared" si="13"/>
        <v>4135000</v>
      </c>
      <c r="N59" s="15">
        <f>SUM(B59:M59)</f>
        <v>39000000</v>
      </c>
    </row>
    <row r="60" spans="1:14" x14ac:dyDescent="0.35">
      <c r="A60" s="6"/>
      <c r="B60" s="4"/>
      <c r="C60" s="4"/>
      <c r="D60" s="4"/>
      <c r="E60" s="4"/>
      <c r="F60" s="4"/>
      <c r="N60" s="15"/>
    </row>
    <row r="61" spans="1:14" x14ac:dyDescent="0.35">
      <c r="A61" s="6" t="s">
        <v>64</v>
      </c>
      <c r="B61" s="13">
        <f>B13</f>
        <v>627000</v>
      </c>
      <c r="C61" s="13">
        <f t="shared" ref="C61:M61" si="14">C13</f>
        <v>629000</v>
      </c>
      <c r="D61" s="13">
        <f t="shared" si="14"/>
        <v>649000</v>
      </c>
      <c r="E61" s="13">
        <f t="shared" si="14"/>
        <v>652000</v>
      </c>
      <c r="F61" s="13">
        <f t="shared" si="14"/>
        <v>653500</v>
      </c>
      <c r="G61" s="13">
        <f t="shared" si="14"/>
        <v>662000</v>
      </c>
      <c r="H61" s="13">
        <f t="shared" si="14"/>
        <v>663000</v>
      </c>
      <c r="I61" s="13">
        <f t="shared" si="14"/>
        <v>664500</v>
      </c>
      <c r="J61" s="13">
        <f t="shared" si="14"/>
        <v>687000</v>
      </c>
      <c r="K61" s="13">
        <f t="shared" si="14"/>
        <v>689000</v>
      </c>
      <c r="L61" s="13">
        <f t="shared" si="14"/>
        <v>692500</v>
      </c>
      <c r="M61" s="13">
        <f t="shared" si="14"/>
        <v>718500</v>
      </c>
      <c r="N61" s="15">
        <f t="shared" ref="N61:N67" si="15">SUM(B61:M61)</f>
        <v>7987000</v>
      </c>
    </row>
    <row r="62" spans="1:14" ht="29" x14ac:dyDescent="0.35">
      <c r="A62" s="6" t="s">
        <v>65</v>
      </c>
      <c r="B62" s="13">
        <f>B22</f>
        <v>375200</v>
      </c>
      <c r="C62" s="13">
        <f t="shared" ref="C62:M62" si="16">C22</f>
        <v>380200</v>
      </c>
      <c r="D62" s="13">
        <f t="shared" si="16"/>
        <v>391900</v>
      </c>
      <c r="E62" s="13">
        <f t="shared" si="16"/>
        <v>396900</v>
      </c>
      <c r="F62" s="13">
        <f t="shared" si="16"/>
        <v>403600</v>
      </c>
      <c r="G62" s="13">
        <f t="shared" si="16"/>
        <v>408600</v>
      </c>
      <c r="H62" s="13">
        <f t="shared" si="16"/>
        <v>414800</v>
      </c>
      <c r="I62" s="13">
        <f t="shared" si="16"/>
        <v>420300</v>
      </c>
      <c r="J62" s="13">
        <f t="shared" si="16"/>
        <v>431500</v>
      </c>
      <c r="K62" s="13">
        <f t="shared" si="16"/>
        <v>437000</v>
      </c>
      <c r="L62" s="13">
        <f t="shared" si="16"/>
        <v>443200</v>
      </c>
      <c r="M62" s="13">
        <f t="shared" si="16"/>
        <v>469200</v>
      </c>
      <c r="N62" s="15">
        <f t="shared" si="15"/>
        <v>4972400</v>
      </c>
    </row>
    <row r="63" spans="1:14" ht="29" x14ac:dyDescent="0.35">
      <c r="A63" s="6" t="s">
        <v>66</v>
      </c>
      <c r="B63" s="9">
        <f>B30</f>
        <v>1072000</v>
      </c>
      <c r="C63" s="9">
        <f t="shared" ref="C63:M63" si="17">C30</f>
        <v>1077000</v>
      </c>
      <c r="D63" s="9">
        <f t="shared" si="17"/>
        <v>1088000</v>
      </c>
      <c r="E63" s="9">
        <f t="shared" si="17"/>
        <v>1091000</v>
      </c>
      <c r="F63" s="9">
        <f t="shared" si="17"/>
        <v>1099000</v>
      </c>
      <c r="G63" s="9">
        <f t="shared" si="17"/>
        <v>1101000</v>
      </c>
      <c r="H63" s="9">
        <f t="shared" si="17"/>
        <v>1110000</v>
      </c>
      <c r="I63" s="9">
        <f t="shared" si="17"/>
        <v>1113000</v>
      </c>
      <c r="J63" s="9">
        <f t="shared" si="17"/>
        <v>1126000</v>
      </c>
      <c r="K63" s="9">
        <f t="shared" si="17"/>
        <v>1131000</v>
      </c>
      <c r="L63" s="9">
        <f t="shared" si="17"/>
        <v>1142000</v>
      </c>
      <c r="M63" s="9">
        <f t="shared" si="17"/>
        <v>1154000</v>
      </c>
      <c r="N63" s="15">
        <f t="shared" si="15"/>
        <v>13304000</v>
      </c>
    </row>
    <row r="64" spans="1:14" ht="29" x14ac:dyDescent="0.35">
      <c r="A64" s="6" t="s">
        <v>67</v>
      </c>
      <c r="B64" s="9">
        <f>B38</f>
        <v>208950</v>
      </c>
      <c r="C64" s="9">
        <f t="shared" ref="C64:M64" si="18">C38</f>
        <v>208950</v>
      </c>
      <c r="D64" s="9">
        <f t="shared" si="18"/>
        <v>210950</v>
      </c>
      <c r="E64" s="9">
        <f t="shared" si="18"/>
        <v>210950</v>
      </c>
      <c r="F64" s="9">
        <f t="shared" si="18"/>
        <v>211950</v>
      </c>
      <c r="G64" s="9">
        <f t="shared" si="18"/>
        <v>211950</v>
      </c>
      <c r="H64" s="9">
        <f t="shared" si="18"/>
        <v>212950</v>
      </c>
      <c r="I64" s="9">
        <f t="shared" si="18"/>
        <v>212950</v>
      </c>
      <c r="J64" s="9">
        <f t="shared" si="18"/>
        <v>216150</v>
      </c>
      <c r="K64" s="9">
        <f t="shared" si="18"/>
        <v>216150</v>
      </c>
      <c r="L64" s="9">
        <f t="shared" si="18"/>
        <v>217150</v>
      </c>
      <c r="M64" s="9">
        <f t="shared" si="18"/>
        <v>217150</v>
      </c>
      <c r="N64" s="15">
        <f t="shared" si="15"/>
        <v>2556200</v>
      </c>
    </row>
    <row r="65" spans="1:14" ht="43.5" x14ac:dyDescent="0.35">
      <c r="A65" s="6" t="s">
        <v>68</v>
      </c>
      <c r="B65" s="9">
        <f>B46</f>
        <v>261100</v>
      </c>
      <c r="C65" s="9">
        <f t="shared" ref="C65:M65" si="19">C46</f>
        <v>261100</v>
      </c>
      <c r="D65" s="9">
        <f t="shared" si="19"/>
        <v>263500</v>
      </c>
      <c r="E65" s="9">
        <f t="shared" si="19"/>
        <v>264000</v>
      </c>
      <c r="F65" s="9">
        <f t="shared" si="19"/>
        <v>265200</v>
      </c>
      <c r="G65" s="9">
        <f t="shared" si="19"/>
        <v>265200</v>
      </c>
      <c r="H65" s="9">
        <f t="shared" si="19"/>
        <v>266900</v>
      </c>
      <c r="I65" s="9">
        <f t="shared" si="19"/>
        <v>266900</v>
      </c>
      <c r="J65" s="9">
        <f t="shared" si="19"/>
        <v>268100</v>
      </c>
      <c r="K65" s="9">
        <f t="shared" si="19"/>
        <v>268100</v>
      </c>
      <c r="L65" s="9">
        <f t="shared" si="19"/>
        <v>269800</v>
      </c>
      <c r="M65" s="9">
        <f t="shared" si="19"/>
        <v>269800</v>
      </c>
      <c r="N65" s="15">
        <f t="shared" si="15"/>
        <v>3189700</v>
      </c>
    </row>
    <row r="66" spans="1:14" x14ac:dyDescent="0.35">
      <c r="A66" s="6" t="s">
        <v>69</v>
      </c>
      <c r="B66" s="9">
        <f>B55</f>
        <v>307950</v>
      </c>
      <c r="C66" s="9">
        <f t="shared" ref="C66:M66" si="20">C55</f>
        <v>307950</v>
      </c>
      <c r="D66" s="9">
        <f t="shared" si="20"/>
        <v>311150</v>
      </c>
      <c r="E66" s="9">
        <f t="shared" si="20"/>
        <v>311150</v>
      </c>
      <c r="F66" s="9">
        <f t="shared" si="20"/>
        <v>314350</v>
      </c>
      <c r="G66" s="9">
        <f t="shared" si="20"/>
        <v>314350</v>
      </c>
      <c r="H66" s="9">
        <f t="shared" si="20"/>
        <v>316550</v>
      </c>
      <c r="I66" s="9">
        <f t="shared" si="20"/>
        <v>316550</v>
      </c>
      <c r="J66" s="9">
        <f t="shared" si="20"/>
        <v>320250</v>
      </c>
      <c r="K66" s="9">
        <f t="shared" si="20"/>
        <v>320250</v>
      </c>
      <c r="L66" s="9">
        <f t="shared" si="20"/>
        <v>324450</v>
      </c>
      <c r="M66" s="9">
        <f t="shared" si="20"/>
        <v>324450</v>
      </c>
      <c r="N66" s="15">
        <f t="shared" si="15"/>
        <v>3789400</v>
      </c>
    </row>
    <row r="67" spans="1:14" ht="43.5" x14ac:dyDescent="0.35">
      <c r="A67" s="7" t="s">
        <v>70</v>
      </c>
      <c r="B67" s="13">
        <f>SUM(B61:B66)</f>
        <v>2852200</v>
      </c>
      <c r="C67" s="13">
        <f t="shared" ref="C67:M67" si="21">SUM(C61:C66)</f>
        <v>2864200</v>
      </c>
      <c r="D67" s="13">
        <f t="shared" si="21"/>
        <v>2914500</v>
      </c>
      <c r="E67" s="13">
        <f t="shared" si="21"/>
        <v>2926000</v>
      </c>
      <c r="F67" s="13">
        <f t="shared" si="21"/>
        <v>2947600</v>
      </c>
      <c r="G67" s="13">
        <f t="shared" si="21"/>
        <v>2963100</v>
      </c>
      <c r="H67" s="13">
        <f t="shared" si="21"/>
        <v>2984200</v>
      </c>
      <c r="I67" s="13">
        <f t="shared" si="21"/>
        <v>2994200</v>
      </c>
      <c r="J67" s="13">
        <f t="shared" si="21"/>
        <v>3049000</v>
      </c>
      <c r="K67" s="13">
        <f t="shared" si="21"/>
        <v>3061500</v>
      </c>
      <c r="L67" s="13">
        <f t="shared" si="21"/>
        <v>3089100</v>
      </c>
      <c r="M67" s="13">
        <f t="shared" si="21"/>
        <v>3153100</v>
      </c>
      <c r="N67" s="15">
        <f t="shared" si="15"/>
        <v>35798700</v>
      </c>
    </row>
    <row r="68" spans="1:14" x14ac:dyDescent="0.35">
      <c r="A68" s="6"/>
      <c r="B68" s="4"/>
      <c r="C68" s="4"/>
      <c r="D68" s="4"/>
      <c r="E68" s="4"/>
      <c r="F68" s="4"/>
    </row>
    <row r="69" spans="1:14" ht="29" x14ac:dyDescent="0.35">
      <c r="A69" s="7" t="s">
        <v>71</v>
      </c>
      <c r="B69" s="13">
        <f>B59-B67</f>
        <v>-162200</v>
      </c>
      <c r="C69" s="13">
        <f t="shared" ref="C69:N69" si="22">C59-C67</f>
        <v>-149200</v>
      </c>
      <c r="D69" s="13">
        <f t="shared" si="22"/>
        <v>110500</v>
      </c>
      <c r="E69" s="13">
        <f t="shared" si="22"/>
        <v>144000</v>
      </c>
      <c r="F69" s="13">
        <f t="shared" si="22"/>
        <v>157400</v>
      </c>
      <c r="G69" s="13">
        <f t="shared" si="22"/>
        <v>171900</v>
      </c>
      <c r="H69" s="13">
        <f t="shared" si="22"/>
        <v>175800</v>
      </c>
      <c r="I69" s="13">
        <f t="shared" si="22"/>
        <v>200800</v>
      </c>
      <c r="J69" s="13">
        <f t="shared" si="22"/>
        <v>491000</v>
      </c>
      <c r="K69" s="13">
        <f t="shared" si="22"/>
        <v>523500</v>
      </c>
      <c r="L69" s="13">
        <f t="shared" si="22"/>
        <v>555900</v>
      </c>
      <c r="M69" s="13">
        <f t="shared" si="22"/>
        <v>981900</v>
      </c>
      <c r="N69" s="13">
        <f t="shared" si="22"/>
        <v>3201300</v>
      </c>
    </row>
    <row r="70" spans="1:14" ht="29" x14ac:dyDescent="0.35">
      <c r="A70" s="7" t="s">
        <v>72</v>
      </c>
      <c r="B70" s="10">
        <f>B69/B59</f>
        <v>-6.0297397769516731E-2</v>
      </c>
      <c r="C70" s="10">
        <f t="shared" ref="C70:N70" si="23">C69/C59</f>
        <v>-5.4953959484346226E-2</v>
      </c>
      <c r="D70" s="10">
        <f t="shared" si="23"/>
        <v>3.6528925619834708E-2</v>
      </c>
      <c r="E70" s="10">
        <f t="shared" si="23"/>
        <v>4.6905537459283386E-2</v>
      </c>
      <c r="F70" s="10">
        <f t="shared" si="23"/>
        <v>5.0692431561996779E-2</v>
      </c>
      <c r="G70" s="10">
        <f t="shared" si="23"/>
        <v>5.4832535885167462E-2</v>
      </c>
      <c r="H70" s="10">
        <f t="shared" si="23"/>
        <v>5.563291139240506E-2</v>
      </c>
      <c r="I70" s="10">
        <f t="shared" si="23"/>
        <v>6.2848200312989044E-2</v>
      </c>
      <c r="J70" s="10">
        <f t="shared" si="23"/>
        <v>0.1387005649717514</v>
      </c>
      <c r="K70" s="10">
        <f t="shared" si="23"/>
        <v>0.14602510460251045</v>
      </c>
      <c r="L70" s="10">
        <f t="shared" si="23"/>
        <v>0.15251028806584363</v>
      </c>
      <c r="M70" s="10">
        <f t="shared" si="23"/>
        <v>0.23746070133010883</v>
      </c>
      <c r="N70" s="10">
        <f t="shared" si="23"/>
        <v>8.2084615384615381E-2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8BF7-F7D6-45C8-99AE-5AE1F023C670}">
  <dimension ref="A1:N70"/>
  <sheetViews>
    <sheetView topLeftCell="A64" workbookViewId="0"/>
  </sheetViews>
  <sheetFormatPr defaultRowHeight="14.5" x14ac:dyDescent="0.35"/>
  <cols>
    <col min="1" max="1" width="13.26953125" customWidth="1"/>
    <col min="2" max="2" width="19.26953125" bestFit="1" customWidth="1"/>
    <col min="3" max="13" width="15.54296875" bestFit="1" customWidth="1"/>
    <col min="14" max="14" width="14.54296875" bestFit="1" customWidth="1"/>
  </cols>
  <sheetData>
    <row r="1" spans="1:14" ht="29" x14ac:dyDescent="0.35">
      <c r="A1" s="3" t="s">
        <v>98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82</v>
      </c>
    </row>
    <row r="2" spans="1:14" ht="29" x14ac:dyDescent="0.35">
      <c r="A2" s="6" t="s">
        <v>4</v>
      </c>
      <c r="B2" s="9">
        <v>2850000</v>
      </c>
      <c r="C2" s="9">
        <v>2900000</v>
      </c>
      <c r="D2" s="9">
        <v>3300000</v>
      </c>
      <c r="E2" s="9">
        <v>3350000</v>
      </c>
      <c r="F2" s="9">
        <v>3380000</v>
      </c>
      <c r="G2" s="9">
        <v>3400000</v>
      </c>
      <c r="H2" s="9">
        <v>3420000</v>
      </c>
      <c r="I2" s="9">
        <v>3450000</v>
      </c>
      <c r="J2" s="9">
        <v>3850000</v>
      </c>
      <c r="K2" s="9">
        <v>3900000</v>
      </c>
      <c r="L2" s="9">
        <v>3950000</v>
      </c>
      <c r="M2" s="9">
        <v>4650000</v>
      </c>
      <c r="N2" s="22">
        <f>SUM(B2:M2)</f>
        <v>42400000</v>
      </c>
    </row>
    <row r="3" spans="1:14" ht="43.5" x14ac:dyDescent="0.35">
      <c r="A3" s="6" t="s">
        <v>5</v>
      </c>
      <c r="B3" s="9">
        <v>310000</v>
      </c>
      <c r="C3" s="9">
        <v>315000</v>
      </c>
      <c r="D3" s="9">
        <v>350000</v>
      </c>
      <c r="E3" s="9">
        <v>350000</v>
      </c>
      <c r="F3" s="9">
        <v>355000</v>
      </c>
      <c r="G3" s="9">
        <v>360000</v>
      </c>
      <c r="H3" s="9">
        <v>365000</v>
      </c>
      <c r="I3" s="9">
        <v>370000</v>
      </c>
      <c r="J3" s="9">
        <v>400000</v>
      </c>
      <c r="K3" s="9">
        <v>405000</v>
      </c>
      <c r="L3" s="9">
        <v>410000</v>
      </c>
      <c r="M3" s="9">
        <v>410000</v>
      </c>
      <c r="N3" s="22">
        <f t="shared" ref="N3:N4" si="0">SUM(B3:M3)</f>
        <v>4400000</v>
      </c>
    </row>
    <row r="4" spans="1:14" x14ac:dyDescent="0.35">
      <c r="A4" s="7" t="s">
        <v>6</v>
      </c>
      <c r="B4" s="22">
        <f>SUM(B2:B3)</f>
        <v>3160000</v>
      </c>
      <c r="C4" s="22">
        <f t="shared" ref="C4:N4" si="1">SUM(C2:C3)</f>
        <v>3215000</v>
      </c>
      <c r="D4" s="22">
        <f t="shared" si="1"/>
        <v>3650000</v>
      </c>
      <c r="E4" s="22">
        <f t="shared" si="1"/>
        <v>3700000</v>
      </c>
      <c r="F4" s="22">
        <f t="shared" si="1"/>
        <v>3735000</v>
      </c>
      <c r="G4" s="22">
        <f t="shared" si="1"/>
        <v>3760000</v>
      </c>
      <c r="H4" s="22">
        <f t="shared" si="1"/>
        <v>3785000</v>
      </c>
      <c r="I4" s="22">
        <f t="shared" si="1"/>
        <v>3820000</v>
      </c>
      <c r="J4" s="22">
        <f t="shared" si="1"/>
        <v>4250000</v>
      </c>
      <c r="K4" s="22">
        <f t="shared" si="1"/>
        <v>4305000</v>
      </c>
      <c r="L4" s="22">
        <f t="shared" si="1"/>
        <v>4360000</v>
      </c>
      <c r="M4" s="22">
        <f t="shared" si="1"/>
        <v>5060000</v>
      </c>
      <c r="N4" s="22">
        <f t="shared" si="0"/>
        <v>46800000</v>
      </c>
    </row>
    <row r="7" spans="1:14" ht="29" x14ac:dyDescent="0.35">
      <c r="A7" s="3" t="s">
        <v>99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82</v>
      </c>
    </row>
    <row r="8" spans="1:14" ht="29" x14ac:dyDescent="0.35">
      <c r="A8" s="6" t="s">
        <v>37</v>
      </c>
      <c r="B8" s="9">
        <v>465000</v>
      </c>
      <c r="C8" s="9">
        <v>465000</v>
      </c>
      <c r="D8" s="9">
        <v>470000</v>
      </c>
      <c r="E8" s="9">
        <v>470000</v>
      </c>
      <c r="F8" s="9">
        <v>475000</v>
      </c>
      <c r="G8" s="9">
        <v>475000</v>
      </c>
      <c r="H8" s="9">
        <v>480000</v>
      </c>
      <c r="I8" s="9">
        <v>480000</v>
      </c>
      <c r="J8" s="9">
        <v>485000</v>
      </c>
      <c r="K8" s="9">
        <v>485000</v>
      </c>
      <c r="L8" s="9">
        <v>490000</v>
      </c>
      <c r="M8" s="9">
        <v>490000</v>
      </c>
      <c r="N8" s="22">
        <f>SUM(B8:M8)</f>
        <v>5730000</v>
      </c>
    </row>
    <row r="9" spans="1:14" ht="29" x14ac:dyDescent="0.35">
      <c r="A9" s="6" t="s">
        <v>38</v>
      </c>
      <c r="B9" s="9">
        <v>93000</v>
      </c>
      <c r="C9" s="9">
        <v>93000</v>
      </c>
      <c r="D9" s="9">
        <v>94000</v>
      </c>
      <c r="E9" s="9">
        <v>94000</v>
      </c>
      <c r="F9" s="9">
        <v>95000</v>
      </c>
      <c r="G9" s="9">
        <v>95000</v>
      </c>
      <c r="H9" s="9">
        <v>96000</v>
      </c>
      <c r="I9" s="9">
        <v>96000</v>
      </c>
      <c r="J9" s="9">
        <v>97000</v>
      </c>
      <c r="K9" s="9">
        <v>97000</v>
      </c>
      <c r="L9" s="9">
        <v>98000</v>
      </c>
      <c r="M9" s="9">
        <v>98000</v>
      </c>
      <c r="N9" s="22">
        <f t="shared" ref="N9:N13" si="2">SUM(B9:M9)</f>
        <v>1146000</v>
      </c>
    </row>
    <row r="10" spans="1:14" ht="29" x14ac:dyDescent="0.35">
      <c r="A10" s="6" t="s">
        <v>39</v>
      </c>
      <c r="B10" s="9">
        <v>145000</v>
      </c>
      <c r="C10" s="9">
        <v>147500</v>
      </c>
      <c r="D10" s="9">
        <v>165000</v>
      </c>
      <c r="E10" s="9">
        <v>167500</v>
      </c>
      <c r="F10" s="9">
        <v>169000</v>
      </c>
      <c r="G10" s="9">
        <v>170000</v>
      </c>
      <c r="H10" s="9">
        <v>171000</v>
      </c>
      <c r="I10" s="9">
        <v>172500</v>
      </c>
      <c r="J10" s="9">
        <v>192500</v>
      </c>
      <c r="K10" s="9">
        <v>195000</v>
      </c>
      <c r="L10" s="9">
        <v>197500</v>
      </c>
      <c r="M10" s="9">
        <v>232500</v>
      </c>
      <c r="N10" s="22">
        <f t="shared" si="2"/>
        <v>2125000</v>
      </c>
    </row>
    <row r="11" spans="1:14" ht="29" x14ac:dyDescent="0.35">
      <c r="A11" s="6" t="s">
        <v>40</v>
      </c>
      <c r="B11" s="9">
        <v>13750</v>
      </c>
      <c r="C11" s="9">
        <v>13750</v>
      </c>
      <c r="D11" s="9">
        <v>13750</v>
      </c>
      <c r="E11" s="9">
        <v>13750</v>
      </c>
      <c r="F11" s="9">
        <v>13750</v>
      </c>
      <c r="G11" s="9">
        <v>13750</v>
      </c>
      <c r="H11" s="9">
        <v>13750</v>
      </c>
      <c r="I11" s="9">
        <v>13750</v>
      </c>
      <c r="J11" s="9">
        <v>13750</v>
      </c>
      <c r="K11" s="9">
        <v>13750</v>
      </c>
      <c r="L11" s="9">
        <v>13750</v>
      </c>
      <c r="M11" s="9">
        <v>13750</v>
      </c>
      <c r="N11" s="22">
        <f t="shared" si="2"/>
        <v>165000</v>
      </c>
    </row>
    <row r="12" spans="1:14" ht="29" x14ac:dyDescent="0.35">
      <c r="A12" s="6" t="s">
        <v>41</v>
      </c>
      <c r="B12" s="9">
        <v>17000</v>
      </c>
      <c r="C12" s="9">
        <v>17000</v>
      </c>
      <c r="D12" s="9">
        <v>17500</v>
      </c>
      <c r="E12" s="9">
        <v>17500</v>
      </c>
      <c r="F12" s="9">
        <v>18000</v>
      </c>
      <c r="G12" s="9">
        <v>18000</v>
      </c>
      <c r="H12" s="9">
        <v>18500</v>
      </c>
      <c r="I12" s="9">
        <v>18500</v>
      </c>
      <c r="J12" s="9">
        <v>19000</v>
      </c>
      <c r="K12" s="9">
        <v>19000</v>
      </c>
      <c r="L12" s="9">
        <v>20000</v>
      </c>
      <c r="M12" s="9">
        <v>20000</v>
      </c>
      <c r="N12" s="22">
        <f t="shared" si="2"/>
        <v>220000</v>
      </c>
    </row>
    <row r="13" spans="1:14" ht="29" x14ac:dyDescent="0.35">
      <c r="A13" s="7" t="s">
        <v>42</v>
      </c>
      <c r="B13" s="13">
        <f>SUM(B8:B12)</f>
        <v>733750</v>
      </c>
      <c r="C13" s="13">
        <f t="shared" ref="C13:M13" si="3">SUM(C8:C12)</f>
        <v>736250</v>
      </c>
      <c r="D13" s="13">
        <f t="shared" si="3"/>
        <v>760250</v>
      </c>
      <c r="E13" s="13">
        <f t="shared" si="3"/>
        <v>762750</v>
      </c>
      <c r="F13" s="13">
        <f t="shared" si="3"/>
        <v>770750</v>
      </c>
      <c r="G13" s="13">
        <f t="shared" si="3"/>
        <v>771750</v>
      </c>
      <c r="H13" s="13">
        <f t="shared" si="3"/>
        <v>779250</v>
      </c>
      <c r="I13" s="13">
        <f t="shared" si="3"/>
        <v>780750</v>
      </c>
      <c r="J13" s="13">
        <f t="shared" si="3"/>
        <v>807250</v>
      </c>
      <c r="K13" s="13">
        <f t="shared" si="3"/>
        <v>809750</v>
      </c>
      <c r="L13" s="13">
        <f t="shared" si="3"/>
        <v>819250</v>
      </c>
      <c r="M13" s="13">
        <f t="shared" si="3"/>
        <v>854250</v>
      </c>
      <c r="N13" s="22">
        <f t="shared" si="2"/>
        <v>9386000</v>
      </c>
    </row>
    <row r="16" spans="1:14" ht="29" x14ac:dyDescent="0.35">
      <c r="A16" s="3" t="s">
        <v>100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82</v>
      </c>
    </row>
    <row r="17" spans="1:14" ht="29" x14ac:dyDescent="0.35">
      <c r="A17" s="6" t="s">
        <v>37</v>
      </c>
      <c r="B17" s="9">
        <v>178000</v>
      </c>
      <c r="C17" s="9">
        <v>178000</v>
      </c>
      <c r="D17" s="9">
        <v>179000</v>
      </c>
      <c r="E17" s="9">
        <v>179000</v>
      </c>
      <c r="F17" s="9">
        <v>180000</v>
      </c>
      <c r="G17" s="9">
        <v>180000</v>
      </c>
      <c r="H17" s="9">
        <v>181000</v>
      </c>
      <c r="I17" s="9">
        <v>181000</v>
      </c>
      <c r="J17" s="9">
        <v>182000</v>
      </c>
      <c r="K17" s="9">
        <v>182000</v>
      </c>
      <c r="L17" s="9">
        <v>183000</v>
      </c>
      <c r="M17" s="9">
        <v>183000</v>
      </c>
      <c r="N17" s="22">
        <f>SUM(B17:M17)</f>
        <v>2166000</v>
      </c>
    </row>
    <row r="18" spans="1:14" ht="29" x14ac:dyDescent="0.35">
      <c r="A18" s="6" t="s">
        <v>38</v>
      </c>
      <c r="B18" s="9">
        <v>35600</v>
      </c>
      <c r="C18" s="9">
        <v>35600</v>
      </c>
      <c r="D18" s="9">
        <v>35800</v>
      </c>
      <c r="E18" s="9">
        <v>35800</v>
      </c>
      <c r="F18" s="9">
        <v>36000</v>
      </c>
      <c r="G18" s="9">
        <v>36000</v>
      </c>
      <c r="H18" s="9">
        <v>36200</v>
      </c>
      <c r="I18" s="9">
        <v>36200</v>
      </c>
      <c r="J18" s="9">
        <v>36400</v>
      </c>
      <c r="K18" s="9">
        <v>36400</v>
      </c>
      <c r="L18" s="9">
        <v>36600</v>
      </c>
      <c r="M18" s="9">
        <v>36600</v>
      </c>
      <c r="N18" s="22">
        <f t="shared" ref="N18:N22" si="4">SUM(B18:M18)</f>
        <v>433200</v>
      </c>
    </row>
    <row r="19" spans="1:14" ht="29" x14ac:dyDescent="0.35">
      <c r="A19" s="6" t="s">
        <v>49</v>
      </c>
      <c r="B19" s="9">
        <v>200000</v>
      </c>
      <c r="C19" s="9">
        <v>205000</v>
      </c>
      <c r="D19" s="9">
        <v>225000</v>
      </c>
      <c r="E19" s="9">
        <v>230000</v>
      </c>
      <c r="F19" s="9">
        <v>235000</v>
      </c>
      <c r="G19" s="9">
        <v>240000</v>
      </c>
      <c r="H19" s="9">
        <v>245000</v>
      </c>
      <c r="I19" s="9">
        <v>250000</v>
      </c>
      <c r="J19" s="9">
        <v>270000</v>
      </c>
      <c r="K19" s="9">
        <v>275000</v>
      </c>
      <c r="L19" s="9">
        <v>280000</v>
      </c>
      <c r="M19" s="9">
        <v>325000</v>
      </c>
      <c r="N19" s="22">
        <f t="shared" si="4"/>
        <v>2980000</v>
      </c>
    </row>
    <row r="20" spans="1:14" ht="29" x14ac:dyDescent="0.35">
      <c r="A20" s="6" t="s">
        <v>40</v>
      </c>
      <c r="B20" s="9">
        <v>5500</v>
      </c>
      <c r="C20" s="9">
        <v>5500</v>
      </c>
      <c r="D20" s="9">
        <v>5500</v>
      </c>
      <c r="E20" s="9">
        <v>5500</v>
      </c>
      <c r="F20" s="9">
        <v>5500</v>
      </c>
      <c r="G20" s="9">
        <v>5500</v>
      </c>
      <c r="H20" s="9">
        <v>5500</v>
      </c>
      <c r="I20" s="9">
        <v>5500</v>
      </c>
      <c r="J20" s="9">
        <v>5500</v>
      </c>
      <c r="K20" s="9">
        <v>5500</v>
      </c>
      <c r="L20" s="9">
        <v>5500</v>
      </c>
      <c r="M20" s="9">
        <v>5500</v>
      </c>
      <c r="N20" s="22">
        <f t="shared" si="4"/>
        <v>66000</v>
      </c>
    </row>
    <row r="21" spans="1:14" ht="29" x14ac:dyDescent="0.35">
      <c r="A21" s="6" t="s">
        <v>41</v>
      </c>
      <c r="B21" s="9">
        <v>4000</v>
      </c>
      <c r="C21" s="9">
        <v>4000</v>
      </c>
      <c r="D21" s="9">
        <v>4000</v>
      </c>
      <c r="E21" s="9">
        <v>4500</v>
      </c>
      <c r="F21" s="9">
        <v>4500</v>
      </c>
      <c r="G21" s="9">
        <v>4500</v>
      </c>
      <c r="H21" s="9">
        <v>4500</v>
      </c>
      <c r="I21" s="9">
        <v>5000</v>
      </c>
      <c r="J21" s="9">
        <v>5000</v>
      </c>
      <c r="K21" s="9">
        <v>5000</v>
      </c>
      <c r="L21" s="9">
        <v>5500</v>
      </c>
      <c r="M21" s="9">
        <v>5500</v>
      </c>
      <c r="N21" s="22">
        <f t="shared" si="4"/>
        <v>56000</v>
      </c>
    </row>
    <row r="22" spans="1:14" ht="43.5" x14ac:dyDescent="0.35">
      <c r="A22" s="7" t="s">
        <v>50</v>
      </c>
      <c r="B22" s="13">
        <f>SUM(B17:B21)</f>
        <v>423100</v>
      </c>
      <c r="C22" s="13">
        <f t="shared" ref="C22:M22" si="5">SUM(C17:C21)</f>
        <v>428100</v>
      </c>
      <c r="D22" s="13">
        <f t="shared" si="5"/>
        <v>449300</v>
      </c>
      <c r="E22" s="13">
        <f t="shared" si="5"/>
        <v>454800</v>
      </c>
      <c r="F22" s="13">
        <f t="shared" si="5"/>
        <v>461000</v>
      </c>
      <c r="G22" s="13">
        <f t="shared" si="5"/>
        <v>466000</v>
      </c>
      <c r="H22" s="13">
        <f t="shared" si="5"/>
        <v>472200</v>
      </c>
      <c r="I22" s="13">
        <f t="shared" si="5"/>
        <v>477700</v>
      </c>
      <c r="J22" s="13">
        <f t="shared" si="5"/>
        <v>498900</v>
      </c>
      <c r="K22" s="13">
        <f t="shared" si="5"/>
        <v>503900</v>
      </c>
      <c r="L22" s="13">
        <f t="shared" si="5"/>
        <v>510600</v>
      </c>
      <c r="M22" s="13">
        <f t="shared" si="5"/>
        <v>555600</v>
      </c>
      <c r="N22" s="22">
        <f t="shared" si="4"/>
        <v>5701200</v>
      </c>
    </row>
    <row r="25" spans="1:14" ht="29" x14ac:dyDescent="0.35">
      <c r="A25" s="3" t="s">
        <v>101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82</v>
      </c>
    </row>
    <row r="26" spans="1:14" ht="29" x14ac:dyDescent="0.35">
      <c r="A26" s="6" t="s">
        <v>37</v>
      </c>
      <c r="B26" s="9">
        <v>870000</v>
      </c>
      <c r="C26" s="9">
        <v>870000</v>
      </c>
      <c r="D26" s="9">
        <v>875000</v>
      </c>
      <c r="E26" s="9">
        <v>875000</v>
      </c>
      <c r="F26" s="9">
        <v>880000</v>
      </c>
      <c r="G26" s="9">
        <v>880000</v>
      </c>
      <c r="H26" s="9">
        <v>885000</v>
      </c>
      <c r="I26" s="9">
        <v>885000</v>
      </c>
      <c r="J26" s="9">
        <v>890000</v>
      </c>
      <c r="K26" s="9">
        <v>890000</v>
      </c>
      <c r="L26" s="9">
        <v>895000</v>
      </c>
      <c r="M26" s="9">
        <v>895000</v>
      </c>
      <c r="N26" s="22">
        <f>SUM(B26:M26)</f>
        <v>10590000</v>
      </c>
    </row>
    <row r="27" spans="1:14" ht="29" x14ac:dyDescent="0.35">
      <c r="A27" s="6" t="s">
        <v>38</v>
      </c>
      <c r="B27" s="9">
        <v>174000</v>
      </c>
      <c r="C27" s="9">
        <v>174000</v>
      </c>
      <c r="D27" s="9">
        <v>175000</v>
      </c>
      <c r="E27" s="9">
        <v>175000</v>
      </c>
      <c r="F27" s="9">
        <v>176000</v>
      </c>
      <c r="G27" s="9">
        <v>176000</v>
      </c>
      <c r="H27" s="9">
        <v>177000</v>
      </c>
      <c r="I27" s="9">
        <v>177000</v>
      </c>
      <c r="J27" s="9">
        <v>178000</v>
      </c>
      <c r="K27" s="9">
        <v>178000</v>
      </c>
      <c r="L27" s="9">
        <v>179000</v>
      </c>
      <c r="M27" s="9">
        <v>179000</v>
      </c>
      <c r="N27" s="22">
        <f t="shared" ref="N27:N31" si="6">SUM(B27:M27)</f>
        <v>2118000</v>
      </c>
    </row>
    <row r="28" spans="1:14" ht="29" x14ac:dyDescent="0.35">
      <c r="A28" s="6" t="s">
        <v>52</v>
      </c>
      <c r="B28" s="9">
        <v>145000</v>
      </c>
      <c r="C28" s="9">
        <v>150000</v>
      </c>
      <c r="D28" s="9">
        <v>155000</v>
      </c>
      <c r="E28" s="9">
        <v>158000</v>
      </c>
      <c r="F28" s="9">
        <v>160000</v>
      </c>
      <c r="G28" s="9">
        <v>162000</v>
      </c>
      <c r="H28" s="9">
        <v>165000</v>
      </c>
      <c r="I28" s="9">
        <v>168000</v>
      </c>
      <c r="J28" s="9">
        <v>175000</v>
      </c>
      <c r="K28" s="9">
        <v>180000</v>
      </c>
      <c r="L28" s="9">
        <v>185000</v>
      </c>
      <c r="M28" s="9">
        <v>197000</v>
      </c>
      <c r="N28" s="22">
        <f t="shared" si="6"/>
        <v>2000000</v>
      </c>
    </row>
    <row r="29" spans="1:14" ht="29" x14ac:dyDescent="0.35">
      <c r="A29" s="6" t="s">
        <v>40</v>
      </c>
      <c r="B29" s="9">
        <v>19000</v>
      </c>
      <c r="C29" s="9">
        <v>19000</v>
      </c>
      <c r="D29" s="9">
        <v>19000</v>
      </c>
      <c r="E29" s="9">
        <v>19000</v>
      </c>
      <c r="F29" s="9">
        <v>19000</v>
      </c>
      <c r="G29" s="9">
        <v>19000</v>
      </c>
      <c r="H29" s="9">
        <v>19000</v>
      </c>
      <c r="I29" s="9">
        <v>19000</v>
      </c>
      <c r="J29" s="9">
        <v>19000</v>
      </c>
      <c r="K29" s="9">
        <v>19000</v>
      </c>
      <c r="L29" s="9">
        <v>19000</v>
      </c>
      <c r="M29" s="9">
        <v>19000</v>
      </c>
      <c r="N29" s="22">
        <f t="shared" si="6"/>
        <v>228000</v>
      </c>
    </row>
    <row r="30" spans="1:14" ht="43.5" x14ac:dyDescent="0.35">
      <c r="A30" s="7" t="s">
        <v>53</v>
      </c>
      <c r="B30" s="9">
        <f>SUM(B26:B29)</f>
        <v>1208000</v>
      </c>
      <c r="C30" s="9">
        <f t="shared" ref="C30:N30" si="7">SUM(C26:C29)</f>
        <v>1213000</v>
      </c>
      <c r="D30" s="9">
        <f t="shared" si="7"/>
        <v>1224000</v>
      </c>
      <c r="E30" s="9">
        <f t="shared" si="7"/>
        <v>1227000</v>
      </c>
      <c r="F30" s="9">
        <f t="shared" si="7"/>
        <v>1235000</v>
      </c>
      <c r="G30" s="9">
        <f t="shared" si="7"/>
        <v>1237000</v>
      </c>
      <c r="H30" s="9">
        <f t="shared" si="7"/>
        <v>1246000</v>
      </c>
      <c r="I30" s="9">
        <f t="shared" si="7"/>
        <v>1249000</v>
      </c>
      <c r="J30" s="9">
        <f t="shared" si="7"/>
        <v>1262000</v>
      </c>
      <c r="K30" s="9">
        <f t="shared" si="7"/>
        <v>1267000</v>
      </c>
      <c r="L30" s="9">
        <f t="shared" si="7"/>
        <v>1278000</v>
      </c>
      <c r="M30" s="9">
        <f t="shared" si="7"/>
        <v>1290000</v>
      </c>
      <c r="N30" s="22">
        <f>SUM(B30:M30)</f>
        <v>14936000</v>
      </c>
    </row>
    <row r="31" spans="1:14" x14ac:dyDescent="0.35">
      <c r="B31" s="8"/>
      <c r="N31" s="22"/>
    </row>
    <row r="33" spans="1:14" ht="29" x14ac:dyDescent="0.35">
      <c r="A33" s="3" t="s">
        <v>102</v>
      </c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29</v>
      </c>
      <c r="I33" s="5" t="s">
        <v>30</v>
      </c>
      <c r="J33" s="5" t="s">
        <v>31</v>
      </c>
      <c r="K33" s="5" t="s">
        <v>32</v>
      </c>
      <c r="L33" s="5" t="s">
        <v>33</v>
      </c>
      <c r="M33" s="5" t="s">
        <v>34</v>
      </c>
      <c r="N33" s="5" t="s">
        <v>82</v>
      </c>
    </row>
    <row r="34" spans="1:14" ht="29" x14ac:dyDescent="0.35">
      <c r="A34" s="6" t="s">
        <v>37</v>
      </c>
      <c r="B34" s="9">
        <v>181000</v>
      </c>
      <c r="C34" s="9">
        <v>181000</v>
      </c>
      <c r="D34" s="9">
        <v>182000</v>
      </c>
      <c r="E34" s="9">
        <v>182000</v>
      </c>
      <c r="F34" s="9">
        <v>182000</v>
      </c>
      <c r="G34" s="9">
        <v>182000</v>
      </c>
      <c r="H34" s="9">
        <v>183000</v>
      </c>
      <c r="I34" s="9">
        <v>183000</v>
      </c>
      <c r="J34" s="9">
        <v>184000</v>
      </c>
      <c r="K34" s="9">
        <v>184000</v>
      </c>
      <c r="L34" s="9">
        <v>185000</v>
      </c>
      <c r="M34" s="9">
        <v>185000</v>
      </c>
      <c r="N34" s="22">
        <f>SUM(B34:M34)</f>
        <v>2194000</v>
      </c>
    </row>
    <row r="35" spans="1:14" ht="29" x14ac:dyDescent="0.35">
      <c r="A35" s="6" t="s">
        <v>38</v>
      </c>
      <c r="B35" s="9">
        <v>36200</v>
      </c>
      <c r="C35" s="9">
        <v>36200</v>
      </c>
      <c r="D35" s="9">
        <v>36400</v>
      </c>
      <c r="E35" s="9">
        <v>36400</v>
      </c>
      <c r="F35" s="9">
        <v>36400</v>
      </c>
      <c r="G35" s="9">
        <v>36400</v>
      </c>
      <c r="H35" s="9">
        <v>36600</v>
      </c>
      <c r="I35" s="9">
        <v>36600</v>
      </c>
      <c r="J35" s="9">
        <v>36800</v>
      </c>
      <c r="K35" s="9">
        <v>36800</v>
      </c>
      <c r="L35" s="9">
        <v>37000</v>
      </c>
      <c r="M35" s="9">
        <v>37000</v>
      </c>
      <c r="N35" s="22">
        <f t="shared" ref="N35:N38" si="8">SUM(B35:M35)</f>
        <v>438800</v>
      </c>
    </row>
    <row r="36" spans="1:14" ht="29" x14ac:dyDescent="0.35">
      <c r="A36" s="6" t="s">
        <v>40</v>
      </c>
      <c r="B36" s="9">
        <v>4250</v>
      </c>
      <c r="C36" s="9">
        <v>4250</v>
      </c>
      <c r="D36" s="9">
        <v>4250</v>
      </c>
      <c r="E36" s="9">
        <v>4250</v>
      </c>
      <c r="F36" s="9">
        <v>4250</v>
      </c>
      <c r="G36" s="9">
        <v>4250</v>
      </c>
      <c r="H36" s="9">
        <v>4250</v>
      </c>
      <c r="I36" s="9">
        <v>4250</v>
      </c>
      <c r="J36" s="9">
        <v>4250</v>
      </c>
      <c r="K36" s="9">
        <v>4250</v>
      </c>
      <c r="L36" s="9">
        <v>4250</v>
      </c>
      <c r="M36" s="9">
        <v>4250</v>
      </c>
      <c r="N36" s="22">
        <f t="shared" si="8"/>
        <v>51000</v>
      </c>
    </row>
    <row r="37" spans="1:14" ht="29" x14ac:dyDescent="0.35">
      <c r="A37" s="6" t="s">
        <v>94</v>
      </c>
      <c r="B37" s="9">
        <v>23000</v>
      </c>
      <c r="C37" s="9">
        <v>23000</v>
      </c>
      <c r="D37" s="9">
        <v>24000</v>
      </c>
      <c r="E37" s="9">
        <v>24000</v>
      </c>
      <c r="F37" s="9">
        <v>25000</v>
      </c>
      <c r="G37" s="9">
        <v>25000</v>
      </c>
      <c r="H37" s="9">
        <v>26000</v>
      </c>
      <c r="I37" s="9">
        <v>26000</v>
      </c>
      <c r="J37" s="9">
        <v>27000</v>
      </c>
      <c r="K37" s="9">
        <v>27000</v>
      </c>
      <c r="L37" s="9">
        <v>28000</v>
      </c>
      <c r="M37" s="9">
        <v>32000</v>
      </c>
      <c r="N37" s="22">
        <f t="shared" si="8"/>
        <v>310000</v>
      </c>
    </row>
    <row r="38" spans="1:14" ht="29" x14ac:dyDescent="0.35">
      <c r="A38" s="7" t="s">
        <v>54</v>
      </c>
      <c r="B38" s="9">
        <f>SUM(B34:B37)</f>
        <v>244450</v>
      </c>
      <c r="C38" s="9">
        <f t="shared" ref="C38:M38" si="9">SUM(C34:C37)</f>
        <v>244450</v>
      </c>
      <c r="D38" s="9">
        <f t="shared" si="9"/>
        <v>246650</v>
      </c>
      <c r="E38" s="9">
        <f t="shared" si="9"/>
        <v>246650</v>
      </c>
      <c r="F38" s="9">
        <f t="shared" si="9"/>
        <v>247650</v>
      </c>
      <c r="G38" s="9">
        <f t="shared" si="9"/>
        <v>247650</v>
      </c>
      <c r="H38" s="9">
        <f t="shared" si="9"/>
        <v>249850</v>
      </c>
      <c r="I38" s="9">
        <f t="shared" si="9"/>
        <v>249850</v>
      </c>
      <c r="J38" s="9">
        <f t="shared" si="9"/>
        <v>252050</v>
      </c>
      <c r="K38" s="9">
        <f t="shared" si="9"/>
        <v>252050</v>
      </c>
      <c r="L38" s="9">
        <f t="shared" si="9"/>
        <v>254250</v>
      </c>
      <c r="M38" s="9">
        <f t="shared" si="9"/>
        <v>258250</v>
      </c>
      <c r="N38" s="22">
        <f t="shared" si="8"/>
        <v>2993800</v>
      </c>
    </row>
    <row r="41" spans="1:14" ht="43.5" x14ac:dyDescent="0.35">
      <c r="A41" s="3" t="s">
        <v>103</v>
      </c>
      <c r="B41" s="5" t="s">
        <v>23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29</v>
      </c>
      <c r="I41" s="5" t="s">
        <v>30</v>
      </c>
      <c r="J41" s="5" t="s">
        <v>31</v>
      </c>
      <c r="K41" s="5" t="s">
        <v>32</v>
      </c>
      <c r="L41" s="5" t="s">
        <v>33</v>
      </c>
      <c r="M41" s="5" t="s">
        <v>34</v>
      </c>
      <c r="N41" s="5" t="s">
        <v>82</v>
      </c>
    </row>
    <row r="42" spans="1:14" ht="29" x14ac:dyDescent="0.35">
      <c r="A42" s="6" t="s">
        <v>37</v>
      </c>
      <c r="B42" s="9">
        <v>237000</v>
      </c>
      <c r="C42" s="9">
        <v>237000</v>
      </c>
      <c r="D42" s="9">
        <v>238000</v>
      </c>
      <c r="E42" s="9">
        <v>238000</v>
      </c>
      <c r="F42" s="9">
        <v>239000</v>
      </c>
      <c r="G42" s="9">
        <v>239000</v>
      </c>
      <c r="H42" s="9">
        <v>240000</v>
      </c>
      <c r="I42" s="9">
        <v>240000</v>
      </c>
      <c r="J42" s="9">
        <v>241000</v>
      </c>
      <c r="K42" s="9">
        <v>241000</v>
      </c>
      <c r="L42" s="9">
        <v>242000</v>
      </c>
      <c r="M42" s="9">
        <v>242000</v>
      </c>
      <c r="N42" s="22">
        <f>SUM(B42:M42)</f>
        <v>2874000</v>
      </c>
    </row>
    <row r="43" spans="1:14" ht="29" x14ac:dyDescent="0.35">
      <c r="A43" s="6" t="s">
        <v>38</v>
      </c>
      <c r="B43" s="9">
        <v>47400</v>
      </c>
      <c r="C43" s="9">
        <v>47400</v>
      </c>
      <c r="D43" s="9">
        <v>47600</v>
      </c>
      <c r="E43" s="9">
        <v>47600</v>
      </c>
      <c r="F43" s="9">
        <v>47800</v>
      </c>
      <c r="G43" s="9">
        <v>47800</v>
      </c>
      <c r="H43" s="9">
        <v>48000</v>
      </c>
      <c r="I43" s="9">
        <v>48000</v>
      </c>
      <c r="J43" s="9">
        <v>48200</v>
      </c>
      <c r="K43" s="9">
        <v>48200</v>
      </c>
      <c r="L43" s="9">
        <v>48400</v>
      </c>
      <c r="M43" s="9">
        <v>48400</v>
      </c>
      <c r="N43" s="22">
        <f t="shared" ref="N43:N45" si="10">SUM(B43:M43)</f>
        <v>574800</v>
      </c>
    </row>
    <row r="44" spans="1:14" ht="29" x14ac:dyDescent="0.35">
      <c r="A44" s="6" t="s">
        <v>40</v>
      </c>
      <c r="B44" s="9">
        <v>8250</v>
      </c>
      <c r="C44" s="9">
        <v>8250</v>
      </c>
      <c r="D44" s="9">
        <v>8250</v>
      </c>
      <c r="E44" s="9">
        <v>8250</v>
      </c>
      <c r="F44" s="9">
        <v>8250</v>
      </c>
      <c r="G44" s="9">
        <v>8250</v>
      </c>
      <c r="H44" s="9">
        <v>8250</v>
      </c>
      <c r="I44" s="9">
        <v>8250</v>
      </c>
      <c r="J44" s="9">
        <v>8250</v>
      </c>
      <c r="K44" s="9">
        <v>8250</v>
      </c>
      <c r="L44" s="9">
        <v>8250</v>
      </c>
      <c r="M44" s="9">
        <v>8250</v>
      </c>
      <c r="N44" s="22">
        <f t="shared" si="10"/>
        <v>99000</v>
      </c>
    </row>
    <row r="45" spans="1:14" ht="29" x14ac:dyDescent="0.35">
      <c r="A45" s="6" t="s">
        <v>41</v>
      </c>
      <c r="B45" s="9">
        <v>4500</v>
      </c>
      <c r="C45" s="9">
        <v>4500</v>
      </c>
      <c r="D45" s="9">
        <v>4500</v>
      </c>
      <c r="E45" s="9">
        <v>5000</v>
      </c>
      <c r="F45" s="9">
        <v>5000</v>
      </c>
      <c r="G45" s="9">
        <v>5000</v>
      </c>
      <c r="H45" s="9">
        <v>5000</v>
      </c>
      <c r="I45" s="9">
        <v>5500</v>
      </c>
      <c r="J45" s="9">
        <v>5500</v>
      </c>
      <c r="K45" s="9">
        <v>5500</v>
      </c>
      <c r="L45" s="9">
        <v>5500</v>
      </c>
      <c r="M45" s="9">
        <v>6000</v>
      </c>
      <c r="N45" s="22">
        <f t="shared" si="10"/>
        <v>61500</v>
      </c>
    </row>
    <row r="46" spans="1:14" ht="58" x14ac:dyDescent="0.35">
      <c r="A46" s="7" t="s">
        <v>55</v>
      </c>
      <c r="B46" s="9">
        <f>SUM(B42:B45)</f>
        <v>297150</v>
      </c>
      <c r="C46" s="9">
        <f t="shared" ref="C46:N46" si="11">SUM(C42:C45)</f>
        <v>297150</v>
      </c>
      <c r="D46" s="9">
        <f t="shared" si="11"/>
        <v>298350</v>
      </c>
      <c r="E46" s="9">
        <f t="shared" si="11"/>
        <v>298850</v>
      </c>
      <c r="F46" s="9">
        <f t="shared" si="11"/>
        <v>300050</v>
      </c>
      <c r="G46" s="9">
        <f t="shared" si="11"/>
        <v>300050</v>
      </c>
      <c r="H46" s="9">
        <f t="shared" si="11"/>
        <v>301250</v>
      </c>
      <c r="I46" s="9">
        <f t="shared" si="11"/>
        <v>301750</v>
      </c>
      <c r="J46" s="9">
        <f t="shared" si="11"/>
        <v>302950</v>
      </c>
      <c r="K46" s="9">
        <f t="shared" si="11"/>
        <v>302950</v>
      </c>
      <c r="L46" s="9">
        <f t="shared" si="11"/>
        <v>304150</v>
      </c>
      <c r="M46" s="9">
        <f t="shared" si="11"/>
        <v>304650</v>
      </c>
      <c r="N46" s="9">
        <f>SUM(B46:M46)</f>
        <v>3609300</v>
      </c>
    </row>
    <row r="49" spans="1:14" ht="29" x14ac:dyDescent="0.35">
      <c r="A49" s="3" t="s">
        <v>105</v>
      </c>
      <c r="B49" s="5" t="s">
        <v>23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29</v>
      </c>
      <c r="I49" s="5" t="s">
        <v>30</v>
      </c>
      <c r="J49" s="5" t="s">
        <v>31</v>
      </c>
      <c r="K49" s="5" t="s">
        <v>32</v>
      </c>
      <c r="L49" s="5" t="s">
        <v>33</v>
      </c>
      <c r="M49" s="5" t="s">
        <v>34</v>
      </c>
      <c r="N49" s="5" t="s">
        <v>82</v>
      </c>
    </row>
    <row r="50" spans="1:14" ht="29" x14ac:dyDescent="0.35">
      <c r="A50" s="6" t="s">
        <v>37</v>
      </c>
      <c r="B50" s="9">
        <v>232000</v>
      </c>
      <c r="C50" s="9">
        <v>232000</v>
      </c>
      <c r="D50" s="9">
        <v>233000</v>
      </c>
      <c r="E50" s="9">
        <v>233000</v>
      </c>
      <c r="F50" s="9">
        <v>234000</v>
      </c>
      <c r="G50" s="9">
        <v>234000</v>
      </c>
      <c r="H50" s="9">
        <v>235000</v>
      </c>
      <c r="I50" s="9">
        <v>235000</v>
      </c>
      <c r="J50" s="9">
        <v>236000</v>
      </c>
      <c r="K50" s="9">
        <v>236000</v>
      </c>
      <c r="L50" s="9">
        <v>237000</v>
      </c>
      <c r="M50" s="9">
        <v>237000</v>
      </c>
      <c r="N50" s="22">
        <f>SUM(B50:M50)</f>
        <v>2814000</v>
      </c>
    </row>
    <row r="51" spans="1:14" ht="29" x14ac:dyDescent="0.35">
      <c r="A51" s="6" t="s">
        <v>38</v>
      </c>
      <c r="B51" s="9">
        <v>46400</v>
      </c>
      <c r="C51" s="9">
        <v>46400</v>
      </c>
      <c r="D51" s="9">
        <v>46600</v>
      </c>
      <c r="E51" s="9">
        <v>46600</v>
      </c>
      <c r="F51" s="9">
        <v>46800</v>
      </c>
      <c r="G51" s="9">
        <v>46800</v>
      </c>
      <c r="H51" s="9">
        <v>47000</v>
      </c>
      <c r="I51" s="9">
        <v>47000</v>
      </c>
      <c r="J51" s="9">
        <v>47200</v>
      </c>
      <c r="K51" s="9">
        <v>47200</v>
      </c>
      <c r="L51" s="9">
        <v>47400</v>
      </c>
      <c r="M51" s="9">
        <v>47400</v>
      </c>
      <c r="N51" s="22">
        <f t="shared" ref="N51:N55" si="12">SUM(B51:M51)</f>
        <v>562800</v>
      </c>
    </row>
    <row r="52" spans="1:14" ht="29" x14ac:dyDescent="0.35">
      <c r="A52" s="6" t="s">
        <v>40</v>
      </c>
      <c r="B52" s="9">
        <v>6500</v>
      </c>
      <c r="C52" s="9">
        <v>6500</v>
      </c>
      <c r="D52" s="9">
        <v>6500</v>
      </c>
      <c r="E52" s="9">
        <v>6500</v>
      </c>
      <c r="F52" s="9">
        <v>6500</v>
      </c>
      <c r="G52" s="9">
        <v>6500</v>
      </c>
      <c r="H52" s="9">
        <v>6500</v>
      </c>
      <c r="I52" s="9">
        <v>6500</v>
      </c>
      <c r="J52" s="9">
        <v>6500</v>
      </c>
      <c r="K52" s="9">
        <v>6500</v>
      </c>
      <c r="L52" s="9">
        <v>6500</v>
      </c>
      <c r="M52" s="9">
        <v>6500</v>
      </c>
      <c r="N52" s="22">
        <f t="shared" si="12"/>
        <v>78000</v>
      </c>
    </row>
    <row r="53" spans="1:14" ht="43.5" x14ac:dyDescent="0.35">
      <c r="A53" s="6" t="s">
        <v>57</v>
      </c>
      <c r="B53" s="9">
        <v>34000</v>
      </c>
      <c r="C53" s="9">
        <v>34000</v>
      </c>
      <c r="D53" s="9">
        <v>35000</v>
      </c>
      <c r="E53" s="9">
        <v>35000</v>
      </c>
      <c r="F53" s="9">
        <v>36000</v>
      </c>
      <c r="G53" s="9">
        <v>36000</v>
      </c>
      <c r="H53" s="9">
        <v>37000</v>
      </c>
      <c r="I53" s="9">
        <v>37000</v>
      </c>
      <c r="J53" s="9">
        <v>38000</v>
      </c>
      <c r="K53" s="9">
        <v>38000</v>
      </c>
      <c r="L53" s="9">
        <v>39000</v>
      </c>
      <c r="M53" s="9">
        <v>41000</v>
      </c>
      <c r="N53" s="22">
        <f t="shared" si="12"/>
        <v>440000</v>
      </c>
    </row>
    <row r="54" spans="1:14" ht="29" x14ac:dyDescent="0.35">
      <c r="A54" s="6" t="s">
        <v>58</v>
      </c>
      <c r="B54" s="9">
        <v>13000</v>
      </c>
      <c r="C54" s="9">
        <v>13000</v>
      </c>
      <c r="D54" s="9">
        <v>13000</v>
      </c>
      <c r="E54" s="9">
        <v>13000</v>
      </c>
      <c r="F54" s="9">
        <v>13000</v>
      </c>
      <c r="G54" s="9">
        <v>13000</v>
      </c>
      <c r="H54" s="9">
        <v>13000</v>
      </c>
      <c r="I54" s="9">
        <v>13000</v>
      </c>
      <c r="J54" s="9">
        <v>13000</v>
      </c>
      <c r="K54" s="9">
        <v>13000</v>
      </c>
      <c r="L54" s="9">
        <v>13000</v>
      </c>
      <c r="M54" s="9">
        <v>13000</v>
      </c>
      <c r="N54" s="22">
        <f t="shared" si="12"/>
        <v>156000</v>
      </c>
    </row>
    <row r="55" spans="1:14" ht="29" x14ac:dyDescent="0.35">
      <c r="A55" s="7" t="s">
        <v>59</v>
      </c>
      <c r="B55" s="9">
        <f>SUM(B50:B54)</f>
        <v>331900</v>
      </c>
      <c r="C55" s="9">
        <f t="shared" ref="C55:M55" si="13">SUM(C50:C54)</f>
        <v>331900</v>
      </c>
      <c r="D55" s="9">
        <f t="shared" si="13"/>
        <v>334100</v>
      </c>
      <c r="E55" s="9">
        <f t="shared" si="13"/>
        <v>334100</v>
      </c>
      <c r="F55" s="9">
        <f t="shared" si="13"/>
        <v>336300</v>
      </c>
      <c r="G55" s="9">
        <f t="shared" si="13"/>
        <v>336300</v>
      </c>
      <c r="H55" s="9">
        <f t="shared" si="13"/>
        <v>338500</v>
      </c>
      <c r="I55" s="9">
        <f t="shared" si="13"/>
        <v>338500</v>
      </c>
      <c r="J55" s="9">
        <f t="shared" si="13"/>
        <v>340700</v>
      </c>
      <c r="K55" s="9">
        <f t="shared" si="13"/>
        <v>340700</v>
      </c>
      <c r="L55" s="9">
        <f t="shared" si="13"/>
        <v>342900</v>
      </c>
      <c r="M55" s="9">
        <f t="shared" si="13"/>
        <v>344900</v>
      </c>
      <c r="N55" s="22">
        <f t="shared" si="12"/>
        <v>4050800</v>
      </c>
    </row>
    <row r="58" spans="1:14" ht="29" x14ac:dyDescent="0.35">
      <c r="A58" s="3" t="s">
        <v>104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29</v>
      </c>
      <c r="I58" s="5" t="s">
        <v>30</v>
      </c>
      <c r="J58" s="5" t="s">
        <v>31</v>
      </c>
      <c r="K58" s="5" t="s">
        <v>32</v>
      </c>
      <c r="L58" s="5" t="s">
        <v>33</v>
      </c>
      <c r="M58" s="5" t="s">
        <v>34</v>
      </c>
      <c r="N58" s="5" t="s">
        <v>82</v>
      </c>
    </row>
    <row r="59" spans="1:14" x14ac:dyDescent="0.35">
      <c r="A59" s="6" t="s">
        <v>6</v>
      </c>
      <c r="B59" s="13">
        <f>B4</f>
        <v>3160000</v>
      </c>
      <c r="C59" s="13">
        <f t="shared" ref="C59:M59" si="14">C4</f>
        <v>3215000</v>
      </c>
      <c r="D59" s="13">
        <f t="shared" si="14"/>
        <v>3650000</v>
      </c>
      <c r="E59" s="13">
        <f t="shared" si="14"/>
        <v>3700000</v>
      </c>
      <c r="F59" s="13">
        <f t="shared" si="14"/>
        <v>3735000</v>
      </c>
      <c r="G59" s="13">
        <f t="shared" si="14"/>
        <v>3760000</v>
      </c>
      <c r="H59" s="13">
        <f t="shared" si="14"/>
        <v>3785000</v>
      </c>
      <c r="I59" s="13">
        <f t="shared" si="14"/>
        <v>3820000</v>
      </c>
      <c r="J59" s="13">
        <f t="shared" si="14"/>
        <v>4250000</v>
      </c>
      <c r="K59" s="13">
        <f t="shared" si="14"/>
        <v>4305000</v>
      </c>
      <c r="L59" s="13">
        <f t="shared" si="14"/>
        <v>4360000</v>
      </c>
      <c r="M59" s="13">
        <f t="shared" si="14"/>
        <v>5060000</v>
      </c>
      <c r="N59" s="15">
        <f>SUM(B59:M59)</f>
        <v>46800000</v>
      </c>
    </row>
    <row r="60" spans="1:14" x14ac:dyDescent="0.35">
      <c r="A60" s="6"/>
      <c r="B60" s="4"/>
      <c r="C60" s="4"/>
      <c r="D60" s="4"/>
      <c r="E60" s="4"/>
      <c r="F60" s="4"/>
      <c r="N60" s="15"/>
    </row>
    <row r="61" spans="1:14" x14ac:dyDescent="0.35">
      <c r="A61" s="6" t="s">
        <v>64</v>
      </c>
      <c r="B61" s="13">
        <f>B13</f>
        <v>733750</v>
      </c>
      <c r="C61" s="13">
        <f t="shared" ref="C61:M61" si="15">C13</f>
        <v>736250</v>
      </c>
      <c r="D61" s="13">
        <f t="shared" si="15"/>
        <v>760250</v>
      </c>
      <c r="E61" s="13">
        <f t="shared" si="15"/>
        <v>762750</v>
      </c>
      <c r="F61" s="13">
        <f t="shared" si="15"/>
        <v>770750</v>
      </c>
      <c r="G61" s="13">
        <f t="shared" si="15"/>
        <v>771750</v>
      </c>
      <c r="H61" s="13">
        <f t="shared" si="15"/>
        <v>779250</v>
      </c>
      <c r="I61" s="13">
        <f t="shared" si="15"/>
        <v>780750</v>
      </c>
      <c r="J61" s="13">
        <f t="shared" si="15"/>
        <v>807250</v>
      </c>
      <c r="K61" s="13">
        <f t="shared" si="15"/>
        <v>809750</v>
      </c>
      <c r="L61" s="13">
        <f t="shared" si="15"/>
        <v>819250</v>
      </c>
      <c r="M61" s="13">
        <f t="shared" si="15"/>
        <v>854250</v>
      </c>
      <c r="N61" s="15">
        <f t="shared" ref="N61:N67" si="16">SUM(B61:M61)</f>
        <v>9386000</v>
      </c>
    </row>
    <row r="62" spans="1:14" ht="29" x14ac:dyDescent="0.35">
      <c r="A62" s="6" t="s">
        <v>65</v>
      </c>
      <c r="B62" s="13">
        <f>B22</f>
        <v>423100</v>
      </c>
      <c r="C62" s="13">
        <f t="shared" ref="C62:M62" si="17">C22</f>
        <v>428100</v>
      </c>
      <c r="D62" s="13">
        <f t="shared" si="17"/>
        <v>449300</v>
      </c>
      <c r="E62" s="13">
        <f t="shared" si="17"/>
        <v>454800</v>
      </c>
      <c r="F62" s="13">
        <f t="shared" si="17"/>
        <v>461000</v>
      </c>
      <c r="G62" s="13">
        <f t="shared" si="17"/>
        <v>466000</v>
      </c>
      <c r="H62" s="13">
        <f t="shared" si="17"/>
        <v>472200</v>
      </c>
      <c r="I62" s="13">
        <f t="shared" si="17"/>
        <v>477700</v>
      </c>
      <c r="J62" s="13">
        <f t="shared" si="17"/>
        <v>498900</v>
      </c>
      <c r="K62" s="13">
        <f t="shared" si="17"/>
        <v>503900</v>
      </c>
      <c r="L62" s="13">
        <f t="shared" si="17"/>
        <v>510600</v>
      </c>
      <c r="M62" s="13">
        <f t="shared" si="17"/>
        <v>555600</v>
      </c>
      <c r="N62" s="15">
        <f t="shared" si="16"/>
        <v>5701200</v>
      </c>
    </row>
    <row r="63" spans="1:14" ht="29" x14ac:dyDescent="0.35">
      <c r="A63" s="6" t="s">
        <v>66</v>
      </c>
      <c r="B63" s="9">
        <f>B30</f>
        <v>1208000</v>
      </c>
      <c r="C63" s="9">
        <f t="shared" ref="C63:M63" si="18">C30</f>
        <v>1213000</v>
      </c>
      <c r="D63" s="9">
        <f t="shared" si="18"/>
        <v>1224000</v>
      </c>
      <c r="E63" s="9">
        <f t="shared" si="18"/>
        <v>1227000</v>
      </c>
      <c r="F63" s="9">
        <f t="shared" si="18"/>
        <v>1235000</v>
      </c>
      <c r="G63" s="9">
        <f t="shared" si="18"/>
        <v>1237000</v>
      </c>
      <c r="H63" s="9">
        <f t="shared" si="18"/>
        <v>1246000</v>
      </c>
      <c r="I63" s="9">
        <f t="shared" si="18"/>
        <v>1249000</v>
      </c>
      <c r="J63" s="9">
        <f t="shared" si="18"/>
        <v>1262000</v>
      </c>
      <c r="K63" s="9">
        <f t="shared" si="18"/>
        <v>1267000</v>
      </c>
      <c r="L63" s="9">
        <f t="shared" si="18"/>
        <v>1278000</v>
      </c>
      <c r="M63" s="9">
        <f t="shared" si="18"/>
        <v>1290000</v>
      </c>
      <c r="N63" s="15">
        <f t="shared" si="16"/>
        <v>14936000</v>
      </c>
    </row>
    <row r="64" spans="1:14" ht="29" x14ac:dyDescent="0.35">
      <c r="A64" s="6" t="s">
        <v>67</v>
      </c>
      <c r="B64" s="9">
        <f>B38</f>
        <v>244450</v>
      </c>
      <c r="C64" s="9">
        <f t="shared" ref="C64:M64" si="19">C38</f>
        <v>244450</v>
      </c>
      <c r="D64" s="9">
        <f t="shared" si="19"/>
        <v>246650</v>
      </c>
      <c r="E64" s="9">
        <f t="shared" si="19"/>
        <v>246650</v>
      </c>
      <c r="F64" s="9">
        <f t="shared" si="19"/>
        <v>247650</v>
      </c>
      <c r="G64" s="9">
        <f t="shared" si="19"/>
        <v>247650</v>
      </c>
      <c r="H64" s="9">
        <f t="shared" si="19"/>
        <v>249850</v>
      </c>
      <c r="I64" s="9">
        <f t="shared" si="19"/>
        <v>249850</v>
      </c>
      <c r="J64" s="9">
        <f t="shared" si="19"/>
        <v>252050</v>
      </c>
      <c r="K64" s="9">
        <f t="shared" si="19"/>
        <v>252050</v>
      </c>
      <c r="L64" s="9">
        <f t="shared" si="19"/>
        <v>254250</v>
      </c>
      <c r="M64" s="9">
        <f t="shared" si="19"/>
        <v>258250</v>
      </c>
      <c r="N64" s="15">
        <f t="shared" si="16"/>
        <v>2993800</v>
      </c>
    </row>
    <row r="65" spans="1:14" ht="43.5" x14ac:dyDescent="0.35">
      <c r="A65" s="6" t="s">
        <v>68</v>
      </c>
      <c r="B65" s="9">
        <f>B46</f>
        <v>297150</v>
      </c>
      <c r="C65" s="9">
        <f t="shared" ref="C65:M65" si="20">C46</f>
        <v>297150</v>
      </c>
      <c r="D65" s="9">
        <f t="shared" si="20"/>
        <v>298350</v>
      </c>
      <c r="E65" s="9">
        <f t="shared" si="20"/>
        <v>298850</v>
      </c>
      <c r="F65" s="9">
        <f t="shared" si="20"/>
        <v>300050</v>
      </c>
      <c r="G65" s="9">
        <f t="shared" si="20"/>
        <v>300050</v>
      </c>
      <c r="H65" s="9">
        <f t="shared" si="20"/>
        <v>301250</v>
      </c>
      <c r="I65" s="9">
        <f t="shared" si="20"/>
        <v>301750</v>
      </c>
      <c r="J65" s="9">
        <f t="shared" si="20"/>
        <v>302950</v>
      </c>
      <c r="K65" s="9">
        <f t="shared" si="20"/>
        <v>302950</v>
      </c>
      <c r="L65" s="9">
        <f t="shared" si="20"/>
        <v>304150</v>
      </c>
      <c r="M65" s="9">
        <f t="shared" si="20"/>
        <v>304650</v>
      </c>
      <c r="N65" s="15">
        <f t="shared" si="16"/>
        <v>3609300</v>
      </c>
    </row>
    <row r="66" spans="1:14" x14ac:dyDescent="0.35">
      <c r="A66" s="6" t="s">
        <v>69</v>
      </c>
      <c r="B66" s="9">
        <f>B55</f>
        <v>331900</v>
      </c>
      <c r="C66" s="9">
        <f t="shared" ref="C66:M66" si="21">C55</f>
        <v>331900</v>
      </c>
      <c r="D66" s="9">
        <f t="shared" si="21"/>
        <v>334100</v>
      </c>
      <c r="E66" s="9">
        <f t="shared" si="21"/>
        <v>334100</v>
      </c>
      <c r="F66" s="9">
        <f t="shared" si="21"/>
        <v>336300</v>
      </c>
      <c r="G66" s="9">
        <f t="shared" si="21"/>
        <v>336300</v>
      </c>
      <c r="H66" s="9">
        <f t="shared" si="21"/>
        <v>338500</v>
      </c>
      <c r="I66" s="9">
        <f t="shared" si="21"/>
        <v>338500</v>
      </c>
      <c r="J66" s="9">
        <f t="shared" si="21"/>
        <v>340700</v>
      </c>
      <c r="K66" s="9">
        <f t="shared" si="21"/>
        <v>340700</v>
      </c>
      <c r="L66" s="9">
        <f t="shared" si="21"/>
        <v>342900</v>
      </c>
      <c r="M66" s="9">
        <f t="shared" si="21"/>
        <v>344900</v>
      </c>
      <c r="N66" s="15">
        <f t="shared" si="16"/>
        <v>4050800</v>
      </c>
    </row>
    <row r="67" spans="1:14" ht="43.5" x14ac:dyDescent="0.35">
      <c r="A67" s="7" t="s">
        <v>70</v>
      </c>
      <c r="B67" s="13">
        <f>SUM(B61:B66)</f>
        <v>3238350</v>
      </c>
      <c r="C67" s="13">
        <f t="shared" ref="C67:M67" si="22">SUM(C61:C66)</f>
        <v>3250850</v>
      </c>
      <c r="D67" s="13">
        <f t="shared" si="22"/>
        <v>3312650</v>
      </c>
      <c r="E67" s="13">
        <f t="shared" si="22"/>
        <v>3324150</v>
      </c>
      <c r="F67" s="13">
        <f t="shared" si="22"/>
        <v>3350750</v>
      </c>
      <c r="G67" s="13">
        <f t="shared" si="22"/>
        <v>3358750</v>
      </c>
      <c r="H67" s="13">
        <f t="shared" si="22"/>
        <v>3387050</v>
      </c>
      <c r="I67" s="13">
        <f t="shared" si="22"/>
        <v>3397550</v>
      </c>
      <c r="J67" s="13">
        <f t="shared" si="22"/>
        <v>3463850</v>
      </c>
      <c r="K67" s="13">
        <f t="shared" si="22"/>
        <v>3476350</v>
      </c>
      <c r="L67" s="13">
        <f t="shared" si="22"/>
        <v>3509150</v>
      </c>
      <c r="M67" s="13">
        <f t="shared" si="22"/>
        <v>3607650</v>
      </c>
      <c r="N67" s="15">
        <f t="shared" si="16"/>
        <v>40677100</v>
      </c>
    </row>
    <row r="68" spans="1:14" x14ac:dyDescent="0.35">
      <c r="A68" s="6"/>
      <c r="B68" s="4"/>
      <c r="C68" s="4"/>
      <c r="D68" s="4"/>
      <c r="E68" s="4"/>
      <c r="F68" s="4"/>
    </row>
    <row r="69" spans="1:14" ht="29" x14ac:dyDescent="0.35">
      <c r="A69" s="7" t="s">
        <v>71</v>
      </c>
      <c r="B69" s="13">
        <f>B59-B67</f>
        <v>-78350</v>
      </c>
      <c r="C69" s="13">
        <f t="shared" ref="C69:N69" si="23">C59-C67</f>
        <v>-35850</v>
      </c>
      <c r="D69" s="13">
        <f t="shared" si="23"/>
        <v>337350</v>
      </c>
      <c r="E69" s="13">
        <f t="shared" si="23"/>
        <v>375850</v>
      </c>
      <c r="F69" s="13">
        <f t="shared" si="23"/>
        <v>384250</v>
      </c>
      <c r="G69" s="13">
        <f t="shared" si="23"/>
        <v>401250</v>
      </c>
      <c r="H69" s="13">
        <f t="shared" si="23"/>
        <v>397950</v>
      </c>
      <c r="I69" s="13">
        <f t="shared" si="23"/>
        <v>422450</v>
      </c>
      <c r="J69" s="13">
        <f t="shared" si="23"/>
        <v>786150</v>
      </c>
      <c r="K69" s="13">
        <f t="shared" si="23"/>
        <v>828650</v>
      </c>
      <c r="L69" s="13">
        <f t="shared" si="23"/>
        <v>850850</v>
      </c>
      <c r="M69" s="13">
        <f t="shared" si="23"/>
        <v>1452350</v>
      </c>
      <c r="N69" s="13">
        <f t="shared" si="23"/>
        <v>6122900</v>
      </c>
    </row>
    <row r="70" spans="1:14" ht="29" x14ac:dyDescent="0.35">
      <c r="A70" s="7" t="s">
        <v>72</v>
      </c>
      <c r="B70" s="10">
        <f>B69/B59</f>
        <v>-2.4794303797468355E-2</v>
      </c>
      <c r="C70" s="10">
        <f t="shared" ref="C70:M70" si="24">C69/C59</f>
        <v>-1.1150855365474339E-2</v>
      </c>
      <c r="D70" s="10">
        <f t="shared" si="24"/>
        <v>9.2424657534246571E-2</v>
      </c>
      <c r="E70" s="10">
        <f t="shared" si="24"/>
        <v>0.10158108108108108</v>
      </c>
      <c r="F70" s="10">
        <f t="shared" si="24"/>
        <v>0.10287817938420347</v>
      </c>
      <c r="G70" s="10">
        <f t="shared" si="24"/>
        <v>0.10671542553191489</v>
      </c>
      <c r="H70" s="10">
        <f t="shared" si="24"/>
        <v>0.10513870541611625</v>
      </c>
      <c r="I70" s="10">
        <f t="shared" si="24"/>
        <v>0.1105890052356021</v>
      </c>
      <c r="J70" s="10">
        <f t="shared" si="24"/>
        <v>0.1849764705882353</v>
      </c>
      <c r="K70" s="10">
        <f t="shared" si="24"/>
        <v>0.19248548199767712</v>
      </c>
      <c r="L70" s="10">
        <f t="shared" si="24"/>
        <v>0.19514908256880734</v>
      </c>
      <c r="M70" s="10">
        <f t="shared" si="24"/>
        <v>0.28702569169960473</v>
      </c>
      <c r="N70" s="10">
        <f>N69/N59</f>
        <v>0.13083119658119657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9B14-9636-4AC6-A6E4-6AA8C1AB0ED1}">
  <dimension ref="A1:N70"/>
  <sheetViews>
    <sheetView topLeftCell="H65" workbookViewId="0"/>
  </sheetViews>
  <sheetFormatPr defaultRowHeight="14.5" x14ac:dyDescent="0.35"/>
  <cols>
    <col min="1" max="1" width="13.26953125" customWidth="1"/>
    <col min="2" max="2" width="19.26953125" bestFit="1" customWidth="1"/>
    <col min="3" max="13" width="15.54296875" bestFit="1" customWidth="1"/>
    <col min="14" max="14" width="14.54296875" bestFit="1" customWidth="1"/>
  </cols>
  <sheetData>
    <row r="1" spans="1:14" ht="29" x14ac:dyDescent="0.35">
      <c r="A1" s="3" t="s">
        <v>106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87</v>
      </c>
    </row>
    <row r="2" spans="1:14" ht="29" x14ac:dyDescent="0.35">
      <c r="A2" s="6" t="s">
        <v>4</v>
      </c>
      <c r="B2" s="9">
        <v>3280000</v>
      </c>
      <c r="C2" s="9">
        <v>3350000</v>
      </c>
      <c r="D2" s="9">
        <v>3750000</v>
      </c>
      <c r="E2" s="9">
        <v>3820000</v>
      </c>
      <c r="F2" s="9">
        <v>3870000</v>
      </c>
      <c r="G2" s="9">
        <v>3900000</v>
      </c>
      <c r="H2" s="9">
        <v>3940000</v>
      </c>
      <c r="I2" s="9">
        <v>3980000</v>
      </c>
      <c r="J2" s="9">
        <v>4410000</v>
      </c>
      <c r="K2" s="9">
        <v>4460000</v>
      </c>
      <c r="L2" s="9">
        <v>4520000</v>
      </c>
      <c r="M2" s="9">
        <v>5370000</v>
      </c>
      <c r="N2" s="22">
        <f>SUM(B2:M2)</f>
        <v>48650000</v>
      </c>
    </row>
    <row r="3" spans="1:14" ht="43.5" x14ac:dyDescent="0.35">
      <c r="A3" s="6" t="s">
        <v>5</v>
      </c>
      <c r="B3" s="9">
        <v>370000</v>
      </c>
      <c r="C3" s="9">
        <v>370000</v>
      </c>
      <c r="D3" s="9">
        <v>430000</v>
      </c>
      <c r="E3" s="9">
        <v>430000</v>
      </c>
      <c r="F3" s="9">
        <v>430000</v>
      </c>
      <c r="G3" s="9">
        <v>440000</v>
      </c>
      <c r="H3" s="9">
        <v>440000</v>
      </c>
      <c r="I3" s="9">
        <v>440000</v>
      </c>
      <c r="J3" s="9">
        <v>490000</v>
      </c>
      <c r="K3" s="9">
        <v>500000</v>
      </c>
      <c r="L3" s="9">
        <v>500000</v>
      </c>
      <c r="M3" s="9">
        <v>560000</v>
      </c>
      <c r="N3" s="22">
        <f t="shared" ref="N3:N4" si="0">SUM(B3:M3)</f>
        <v>5400000</v>
      </c>
    </row>
    <row r="4" spans="1:14" x14ac:dyDescent="0.35">
      <c r="A4" s="7" t="s">
        <v>6</v>
      </c>
      <c r="B4" s="22">
        <f>SUM(B2:B3)</f>
        <v>3650000</v>
      </c>
      <c r="C4" s="22">
        <f t="shared" ref="C4:M4" si="1">SUM(C2:C3)</f>
        <v>3720000</v>
      </c>
      <c r="D4" s="22">
        <f t="shared" si="1"/>
        <v>4180000</v>
      </c>
      <c r="E4" s="22">
        <f t="shared" si="1"/>
        <v>4250000</v>
      </c>
      <c r="F4" s="22">
        <f t="shared" si="1"/>
        <v>4300000</v>
      </c>
      <c r="G4" s="22">
        <f t="shared" si="1"/>
        <v>4340000</v>
      </c>
      <c r="H4" s="22">
        <f t="shared" si="1"/>
        <v>4380000</v>
      </c>
      <c r="I4" s="22">
        <f t="shared" si="1"/>
        <v>4420000</v>
      </c>
      <c r="J4" s="22">
        <f t="shared" si="1"/>
        <v>4900000</v>
      </c>
      <c r="K4" s="22">
        <f t="shared" si="1"/>
        <v>4960000</v>
      </c>
      <c r="L4" s="22">
        <f t="shared" si="1"/>
        <v>5020000</v>
      </c>
      <c r="M4" s="22">
        <f t="shared" si="1"/>
        <v>5930000</v>
      </c>
      <c r="N4" s="22">
        <f t="shared" si="0"/>
        <v>54050000</v>
      </c>
    </row>
    <row r="7" spans="1:14" ht="29" x14ac:dyDescent="0.35">
      <c r="A7" s="3" t="s">
        <v>107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87</v>
      </c>
    </row>
    <row r="8" spans="1:14" ht="29" x14ac:dyDescent="0.35">
      <c r="A8" s="6" t="s">
        <v>37</v>
      </c>
      <c r="B8" s="9">
        <v>520000</v>
      </c>
      <c r="C8" s="9">
        <v>520000</v>
      </c>
      <c r="D8" s="9">
        <v>525000</v>
      </c>
      <c r="E8" s="9">
        <v>525000</v>
      </c>
      <c r="F8" s="9">
        <v>530000</v>
      </c>
      <c r="G8" s="9">
        <v>530000</v>
      </c>
      <c r="H8" s="9">
        <v>535000</v>
      </c>
      <c r="I8" s="9">
        <v>535000</v>
      </c>
      <c r="J8" s="9">
        <v>540000</v>
      </c>
      <c r="K8" s="9">
        <v>540000</v>
      </c>
      <c r="L8" s="9">
        <v>545000</v>
      </c>
      <c r="M8" s="9">
        <v>545000</v>
      </c>
      <c r="N8" s="22">
        <f>SUM(B8:M8)</f>
        <v>6390000</v>
      </c>
    </row>
    <row r="9" spans="1:14" ht="29" x14ac:dyDescent="0.35">
      <c r="A9" s="6" t="s">
        <v>38</v>
      </c>
      <c r="B9" s="9">
        <v>104000</v>
      </c>
      <c r="C9" s="9">
        <v>104000</v>
      </c>
      <c r="D9" s="9">
        <v>105000</v>
      </c>
      <c r="E9" s="9">
        <v>105000</v>
      </c>
      <c r="F9" s="9">
        <v>106000</v>
      </c>
      <c r="G9" s="9">
        <v>106000</v>
      </c>
      <c r="H9" s="9">
        <v>107000</v>
      </c>
      <c r="I9" s="9">
        <v>107000</v>
      </c>
      <c r="J9" s="9">
        <v>108000</v>
      </c>
      <c r="K9" s="9">
        <v>108000</v>
      </c>
      <c r="L9" s="9">
        <v>109000</v>
      </c>
      <c r="M9" s="9">
        <v>109000</v>
      </c>
      <c r="N9" s="22">
        <f t="shared" ref="N9:N12" si="2">SUM(B9:M9)</f>
        <v>1278000</v>
      </c>
    </row>
    <row r="10" spans="1:14" ht="29" x14ac:dyDescent="0.35">
      <c r="A10" s="6" t="s">
        <v>39</v>
      </c>
      <c r="B10" s="9">
        <v>164000</v>
      </c>
      <c r="C10" s="9">
        <v>168000</v>
      </c>
      <c r="D10" s="9">
        <v>188000</v>
      </c>
      <c r="E10" s="9">
        <v>191000</v>
      </c>
      <c r="F10" s="9">
        <v>194000</v>
      </c>
      <c r="G10" s="9">
        <v>195000</v>
      </c>
      <c r="H10" s="9">
        <v>197000</v>
      </c>
      <c r="I10" s="9">
        <v>199000</v>
      </c>
      <c r="J10" s="9">
        <v>221000</v>
      </c>
      <c r="K10" s="9">
        <v>223000</v>
      </c>
      <c r="L10" s="9">
        <v>226000</v>
      </c>
      <c r="M10" s="9">
        <v>269000</v>
      </c>
      <c r="N10" s="22">
        <f t="shared" si="2"/>
        <v>2435000</v>
      </c>
    </row>
    <row r="11" spans="1:14" ht="29" x14ac:dyDescent="0.35">
      <c r="A11" s="6" t="s">
        <v>40</v>
      </c>
      <c r="B11" s="9">
        <v>15000</v>
      </c>
      <c r="C11" s="9">
        <v>15000</v>
      </c>
      <c r="D11" s="9">
        <v>15000</v>
      </c>
      <c r="E11" s="9">
        <v>15000</v>
      </c>
      <c r="F11" s="9">
        <v>15000</v>
      </c>
      <c r="G11" s="9">
        <v>15000</v>
      </c>
      <c r="H11" s="9">
        <v>15000</v>
      </c>
      <c r="I11" s="9">
        <v>15000</v>
      </c>
      <c r="J11" s="9">
        <v>15000</v>
      </c>
      <c r="K11" s="9">
        <v>15000</v>
      </c>
      <c r="L11" s="9">
        <v>15000</v>
      </c>
      <c r="M11" s="9">
        <v>15000</v>
      </c>
      <c r="N11" s="22">
        <f t="shared" si="2"/>
        <v>180000</v>
      </c>
    </row>
    <row r="12" spans="1:14" ht="29" x14ac:dyDescent="0.35">
      <c r="A12" s="6" t="s">
        <v>41</v>
      </c>
      <c r="B12" s="9">
        <v>19000</v>
      </c>
      <c r="C12" s="9">
        <v>19000</v>
      </c>
      <c r="D12" s="9">
        <v>20000</v>
      </c>
      <c r="E12" s="9">
        <v>20000</v>
      </c>
      <c r="F12" s="9">
        <v>20000</v>
      </c>
      <c r="G12" s="9">
        <v>20000</v>
      </c>
      <c r="H12" s="9">
        <v>21000</v>
      </c>
      <c r="I12" s="9">
        <v>21000</v>
      </c>
      <c r="J12" s="9">
        <v>21000</v>
      </c>
      <c r="K12" s="9">
        <v>21000</v>
      </c>
      <c r="L12" s="9">
        <v>22000</v>
      </c>
      <c r="M12" s="9">
        <v>22000</v>
      </c>
      <c r="N12" s="22">
        <f t="shared" si="2"/>
        <v>246000</v>
      </c>
    </row>
    <row r="13" spans="1:14" ht="29" x14ac:dyDescent="0.35">
      <c r="A13" s="7" t="s">
        <v>42</v>
      </c>
      <c r="B13" s="22">
        <f>SUM(B8:B12)</f>
        <v>822000</v>
      </c>
      <c r="C13" s="22">
        <f t="shared" ref="C13:N13" si="3">SUM(C8:C12)</f>
        <v>826000</v>
      </c>
      <c r="D13" s="22">
        <f t="shared" si="3"/>
        <v>853000</v>
      </c>
      <c r="E13" s="22">
        <f t="shared" si="3"/>
        <v>856000</v>
      </c>
      <c r="F13" s="22">
        <f t="shared" si="3"/>
        <v>865000</v>
      </c>
      <c r="G13" s="22">
        <f t="shared" si="3"/>
        <v>866000</v>
      </c>
      <c r="H13" s="22">
        <f t="shared" si="3"/>
        <v>875000</v>
      </c>
      <c r="I13" s="22">
        <f t="shared" si="3"/>
        <v>877000</v>
      </c>
      <c r="J13" s="22">
        <f t="shared" si="3"/>
        <v>905000</v>
      </c>
      <c r="K13" s="22">
        <f t="shared" si="3"/>
        <v>907000</v>
      </c>
      <c r="L13" s="22">
        <f t="shared" si="3"/>
        <v>917000</v>
      </c>
      <c r="M13" s="22">
        <f t="shared" si="3"/>
        <v>960000</v>
      </c>
      <c r="N13" s="22">
        <f t="shared" si="3"/>
        <v>10529000</v>
      </c>
    </row>
    <row r="16" spans="1:14" ht="29" x14ac:dyDescent="0.35">
      <c r="A16" s="3" t="s">
        <v>108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87</v>
      </c>
    </row>
    <row r="17" spans="1:14" ht="29" x14ac:dyDescent="0.35">
      <c r="A17" s="6" t="s">
        <v>37</v>
      </c>
      <c r="B17" s="9">
        <v>198000</v>
      </c>
      <c r="C17" s="9">
        <v>198000</v>
      </c>
      <c r="D17" s="9">
        <v>199000</v>
      </c>
      <c r="E17" s="9">
        <v>199000</v>
      </c>
      <c r="F17" s="9">
        <v>200000</v>
      </c>
      <c r="G17" s="9">
        <v>200000</v>
      </c>
      <c r="H17" s="9">
        <v>201000</v>
      </c>
      <c r="I17" s="9">
        <v>201000</v>
      </c>
      <c r="J17" s="9">
        <v>202000</v>
      </c>
      <c r="K17" s="9">
        <v>202000</v>
      </c>
      <c r="L17" s="9">
        <v>203000</v>
      </c>
      <c r="M17" s="9">
        <v>203000</v>
      </c>
      <c r="N17" s="22">
        <f>SUM(B17:M17)</f>
        <v>2406000</v>
      </c>
    </row>
    <row r="18" spans="1:14" ht="29" x14ac:dyDescent="0.35">
      <c r="A18" s="6" t="s">
        <v>38</v>
      </c>
      <c r="B18" s="9">
        <v>39600</v>
      </c>
      <c r="C18" s="9">
        <v>39600</v>
      </c>
      <c r="D18" s="9">
        <v>39800</v>
      </c>
      <c r="E18" s="9">
        <v>39800</v>
      </c>
      <c r="F18" s="9">
        <v>40000</v>
      </c>
      <c r="G18" s="9">
        <v>40000</v>
      </c>
      <c r="H18" s="9">
        <v>40200</v>
      </c>
      <c r="I18" s="9">
        <v>40200</v>
      </c>
      <c r="J18" s="9">
        <v>40400</v>
      </c>
      <c r="K18" s="9">
        <v>40400</v>
      </c>
      <c r="L18" s="9">
        <v>40600</v>
      </c>
      <c r="M18" s="9">
        <v>40600</v>
      </c>
      <c r="N18" s="22">
        <f t="shared" ref="N18:N22" si="4">SUM(B18:M18)</f>
        <v>481200</v>
      </c>
    </row>
    <row r="19" spans="1:14" ht="29" x14ac:dyDescent="0.35">
      <c r="A19" s="6" t="s">
        <v>49</v>
      </c>
      <c r="B19" s="9">
        <v>235000</v>
      </c>
      <c r="C19" s="9">
        <v>240000</v>
      </c>
      <c r="D19" s="9">
        <v>255000</v>
      </c>
      <c r="E19" s="9">
        <v>260000</v>
      </c>
      <c r="F19" s="9">
        <v>265000</v>
      </c>
      <c r="G19" s="9">
        <v>270000</v>
      </c>
      <c r="H19" s="9">
        <v>275000</v>
      </c>
      <c r="I19" s="9">
        <v>280000</v>
      </c>
      <c r="J19" s="9">
        <v>300000</v>
      </c>
      <c r="K19" s="9">
        <v>305000</v>
      </c>
      <c r="L19" s="9">
        <v>310000</v>
      </c>
      <c r="M19" s="9">
        <v>350000</v>
      </c>
      <c r="N19" s="22">
        <f t="shared" si="4"/>
        <v>3345000</v>
      </c>
    </row>
    <row r="20" spans="1:14" ht="29" x14ac:dyDescent="0.35">
      <c r="A20" s="6" t="s">
        <v>40</v>
      </c>
      <c r="B20" s="9">
        <v>6000</v>
      </c>
      <c r="C20" s="9">
        <v>6000</v>
      </c>
      <c r="D20" s="9">
        <v>6000</v>
      </c>
      <c r="E20" s="9">
        <v>6000</v>
      </c>
      <c r="F20" s="9">
        <v>6000</v>
      </c>
      <c r="G20" s="9">
        <v>6000</v>
      </c>
      <c r="H20" s="9">
        <v>6000</v>
      </c>
      <c r="I20" s="9">
        <v>6000</v>
      </c>
      <c r="J20" s="9">
        <v>6000</v>
      </c>
      <c r="K20" s="9">
        <v>6000</v>
      </c>
      <c r="L20" s="9">
        <v>6000</v>
      </c>
      <c r="M20" s="9">
        <v>6000</v>
      </c>
      <c r="N20" s="22">
        <f t="shared" si="4"/>
        <v>72000</v>
      </c>
    </row>
    <row r="21" spans="1:14" ht="29" x14ac:dyDescent="0.35">
      <c r="A21" s="6" t="s">
        <v>41</v>
      </c>
      <c r="B21" s="9">
        <v>4500</v>
      </c>
      <c r="C21" s="9">
        <v>4500</v>
      </c>
      <c r="D21" s="9">
        <v>5000</v>
      </c>
      <c r="E21" s="9">
        <v>5000</v>
      </c>
      <c r="F21" s="9">
        <v>5000</v>
      </c>
      <c r="G21" s="9">
        <v>5000</v>
      </c>
      <c r="H21" s="9">
        <v>5500</v>
      </c>
      <c r="I21" s="9">
        <v>5500</v>
      </c>
      <c r="J21" s="9">
        <v>5500</v>
      </c>
      <c r="K21" s="9">
        <v>5500</v>
      </c>
      <c r="L21" s="9">
        <v>6000</v>
      </c>
      <c r="M21" s="9">
        <v>6000</v>
      </c>
      <c r="N21" s="22">
        <f t="shared" si="4"/>
        <v>63000</v>
      </c>
    </row>
    <row r="22" spans="1:14" ht="43.5" x14ac:dyDescent="0.35">
      <c r="A22" s="7" t="s">
        <v>50</v>
      </c>
      <c r="B22" s="22">
        <f>SUM(B17:B21)</f>
        <v>483100</v>
      </c>
      <c r="C22" s="22">
        <f t="shared" ref="C22:N22" si="5">SUM(C17:C21)</f>
        <v>488100</v>
      </c>
      <c r="D22" s="22">
        <f t="shared" si="5"/>
        <v>504800</v>
      </c>
      <c r="E22" s="22">
        <f t="shared" si="5"/>
        <v>509800</v>
      </c>
      <c r="F22" s="22">
        <f t="shared" si="5"/>
        <v>516000</v>
      </c>
      <c r="G22" s="22">
        <f t="shared" si="5"/>
        <v>521000</v>
      </c>
      <c r="H22" s="22">
        <f t="shared" si="5"/>
        <v>527700</v>
      </c>
      <c r="I22" s="22">
        <f t="shared" si="5"/>
        <v>532700</v>
      </c>
      <c r="J22" s="22">
        <f t="shared" si="5"/>
        <v>553900</v>
      </c>
      <c r="K22" s="22">
        <f t="shared" si="5"/>
        <v>558900</v>
      </c>
      <c r="L22" s="22">
        <f t="shared" si="5"/>
        <v>565600</v>
      </c>
      <c r="M22" s="22">
        <f t="shared" si="5"/>
        <v>605600</v>
      </c>
      <c r="N22" s="22">
        <f t="shared" si="5"/>
        <v>6367200</v>
      </c>
    </row>
    <row r="25" spans="1:14" ht="29" x14ac:dyDescent="0.35">
      <c r="A25" s="3" t="s">
        <v>109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87</v>
      </c>
    </row>
    <row r="26" spans="1:14" ht="29" x14ac:dyDescent="0.35">
      <c r="A26" s="6" t="s">
        <v>37</v>
      </c>
      <c r="B26" s="9">
        <v>960000</v>
      </c>
      <c r="C26" s="9">
        <v>960000</v>
      </c>
      <c r="D26" s="9">
        <v>965000</v>
      </c>
      <c r="E26" s="9">
        <v>965000</v>
      </c>
      <c r="F26" s="9">
        <v>970000</v>
      </c>
      <c r="G26" s="9">
        <v>970000</v>
      </c>
      <c r="H26" s="9">
        <v>975000</v>
      </c>
      <c r="I26" s="9">
        <v>975000</v>
      </c>
      <c r="J26" s="9">
        <v>980000</v>
      </c>
      <c r="K26" s="9">
        <v>980000</v>
      </c>
      <c r="L26" s="9">
        <v>985000</v>
      </c>
      <c r="M26" s="9">
        <v>985000</v>
      </c>
      <c r="N26" s="22">
        <f>SUM(B26:M26)</f>
        <v>11670000</v>
      </c>
    </row>
    <row r="27" spans="1:14" ht="29" x14ac:dyDescent="0.35">
      <c r="A27" s="6" t="s">
        <v>38</v>
      </c>
      <c r="B27" s="9">
        <v>192000</v>
      </c>
      <c r="C27" s="9">
        <v>192000</v>
      </c>
      <c r="D27" s="9">
        <v>193000</v>
      </c>
      <c r="E27" s="9">
        <v>193000</v>
      </c>
      <c r="F27" s="9">
        <v>194000</v>
      </c>
      <c r="G27" s="9">
        <v>194000</v>
      </c>
      <c r="H27" s="9">
        <v>195000</v>
      </c>
      <c r="I27" s="9">
        <v>195000</v>
      </c>
      <c r="J27" s="9">
        <v>196000</v>
      </c>
      <c r="K27" s="9">
        <v>196000</v>
      </c>
      <c r="L27" s="9">
        <v>197000</v>
      </c>
      <c r="M27" s="9">
        <v>197000</v>
      </c>
      <c r="N27" s="22">
        <f t="shared" ref="N27:N30" si="6">SUM(B27:M27)</f>
        <v>2334000</v>
      </c>
    </row>
    <row r="28" spans="1:14" ht="29" x14ac:dyDescent="0.35">
      <c r="A28" s="6" t="s">
        <v>52</v>
      </c>
      <c r="B28" s="9">
        <v>175000</v>
      </c>
      <c r="C28" s="9">
        <v>180000</v>
      </c>
      <c r="D28" s="9">
        <v>185000</v>
      </c>
      <c r="E28" s="9">
        <v>190000</v>
      </c>
      <c r="F28" s="9">
        <v>195000</v>
      </c>
      <c r="G28" s="9">
        <v>200000</v>
      </c>
      <c r="H28" s="9">
        <v>205000</v>
      </c>
      <c r="I28" s="9">
        <v>210000</v>
      </c>
      <c r="J28" s="9">
        <v>220000</v>
      </c>
      <c r="K28" s="9">
        <v>225000</v>
      </c>
      <c r="L28" s="9">
        <v>230000</v>
      </c>
      <c r="M28" s="9">
        <v>250000</v>
      </c>
      <c r="N28" s="22">
        <f t="shared" si="6"/>
        <v>2465000</v>
      </c>
    </row>
    <row r="29" spans="1:14" ht="29" x14ac:dyDescent="0.35">
      <c r="A29" s="6" t="s">
        <v>40</v>
      </c>
      <c r="B29" s="9">
        <v>20500</v>
      </c>
      <c r="C29" s="9">
        <v>20500</v>
      </c>
      <c r="D29" s="9">
        <v>20500</v>
      </c>
      <c r="E29" s="9">
        <v>20500</v>
      </c>
      <c r="F29" s="9">
        <v>20500</v>
      </c>
      <c r="G29" s="9">
        <v>20500</v>
      </c>
      <c r="H29" s="9">
        <v>20500</v>
      </c>
      <c r="I29" s="9">
        <v>20500</v>
      </c>
      <c r="J29" s="9">
        <v>20500</v>
      </c>
      <c r="K29" s="9">
        <v>20500</v>
      </c>
      <c r="L29" s="9">
        <v>20500</v>
      </c>
      <c r="M29" s="9">
        <v>20500</v>
      </c>
      <c r="N29" s="22">
        <f t="shared" si="6"/>
        <v>246000</v>
      </c>
    </row>
    <row r="30" spans="1:14" ht="43.5" x14ac:dyDescent="0.35">
      <c r="A30" s="7" t="s">
        <v>53</v>
      </c>
      <c r="B30" s="22">
        <f>SUM(B26:B29)</f>
        <v>1347500</v>
      </c>
      <c r="C30" s="22">
        <f t="shared" ref="C30:N30" si="7">SUM(C26:C29)</f>
        <v>1352500</v>
      </c>
      <c r="D30" s="22">
        <f t="shared" si="7"/>
        <v>1363500</v>
      </c>
      <c r="E30" s="22">
        <f t="shared" si="7"/>
        <v>1368500</v>
      </c>
      <c r="F30" s="22">
        <f t="shared" si="7"/>
        <v>1379500</v>
      </c>
      <c r="G30" s="22">
        <f t="shared" si="7"/>
        <v>1384500</v>
      </c>
      <c r="H30" s="22">
        <f t="shared" si="7"/>
        <v>1395500</v>
      </c>
      <c r="I30" s="22">
        <f t="shared" si="7"/>
        <v>1400500</v>
      </c>
      <c r="J30" s="22">
        <f t="shared" si="7"/>
        <v>1416500</v>
      </c>
      <c r="K30" s="22">
        <f t="shared" si="7"/>
        <v>1421500</v>
      </c>
      <c r="L30" s="22">
        <f t="shared" si="7"/>
        <v>1432500</v>
      </c>
      <c r="M30" s="22">
        <f t="shared" si="7"/>
        <v>1452500</v>
      </c>
      <c r="N30" s="22">
        <f t="shared" si="7"/>
        <v>16715000</v>
      </c>
    </row>
    <row r="33" spans="1:14" ht="29" x14ac:dyDescent="0.35">
      <c r="A33" s="3" t="s">
        <v>110</v>
      </c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29</v>
      </c>
      <c r="I33" s="5" t="s">
        <v>30</v>
      </c>
      <c r="J33" s="5" t="s">
        <v>31</v>
      </c>
      <c r="K33" s="5" t="s">
        <v>32</v>
      </c>
      <c r="L33" s="5" t="s">
        <v>33</v>
      </c>
      <c r="M33" s="5" t="s">
        <v>34</v>
      </c>
      <c r="N33" s="5" t="s">
        <v>87</v>
      </c>
    </row>
    <row r="34" spans="1:14" ht="29" x14ac:dyDescent="0.35">
      <c r="A34" s="6" t="s">
        <v>37</v>
      </c>
      <c r="B34" s="9">
        <v>207000</v>
      </c>
      <c r="C34" s="9">
        <v>207000</v>
      </c>
      <c r="D34" s="9">
        <v>208000</v>
      </c>
      <c r="E34" s="9">
        <v>208000</v>
      </c>
      <c r="F34" s="9">
        <v>209000</v>
      </c>
      <c r="G34" s="9">
        <v>209000</v>
      </c>
      <c r="H34" s="9">
        <v>210000</v>
      </c>
      <c r="I34" s="9">
        <v>210000</v>
      </c>
      <c r="J34" s="9">
        <v>211000</v>
      </c>
      <c r="K34" s="9">
        <v>211000</v>
      </c>
      <c r="L34" s="9">
        <v>212000</v>
      </c>
      <c r="M34" s="9">
        <v>212000</v>
      </c>
      <c r="N34" s="22">
        <f>SUM(B34:M34)</f>
        <v>2514000</v>
      </c>
    </row>
    <row r="35" spans="1:14" ht="29" x14ac:dyDescent="0.35">
      <c r="A35" s="6" t="s">
        <v>38</v>
      </c>
      <c r="B35" s="9">
        <v>41400</v>
      </c>
      <c r="C35" s="9">
        <v>41400</v>
      </c>
      <c r="D35" s="9">
        <v>41600</v>
      </c>
      <c r="E35" s="9">
        <v>41600</v>
      </c>
      <c r="F35" s="9">
        <v>41800</v>
      </c>
      <c r="G35" s="9">
        <v>41800</v>
      </c>
      <c r="H35" s="9">
        <v>42000</v>
      </c>
      <c r="I35" s="9">
        <v>42000</v>
      </c>
      <c r="J35" s="9">
        <v>42200</v>
      </c>
      <c r="K35" s="9">
        <v>42200</v>
      </c>
      <c r="L35" s="9">
        <v>42400</v>
      </c>
      <c r="M35" s="9">
        <v>42400</v>
      </c>
      <c r="N35" s="22">
        <f t="shared" ref="N35:N37" si="8">SUM(B35:M35)</f>
        <v>502800</v>
      </c>
    </row>
    <row r="36" spans="1:14" ht="29" x14ac:dyDescent="0.35">
      <c r="A36" s="6" t="s">
        <v>40</v>
      </c>
      <c r="B36" s="9">
        <v>4750</v>
      </c>
      <c r="C36" s="9">
        <v>4750</v>
      </c>
      <c r="D36" s="9">
        <v>4750</v>
      </c>
      <c r="E36" s="9">
        <v>4750</v>
      </c>
      <c r="F36" s="9">
        <v>4750</v>
      </c>
      <c r="G36" s="9">
        <v>4750</v>
      </c>
      <c r="H36" s="9">
        <v>4750</v>
      </c>
      <c r="I36" s="9">
        <v>4750</v>
      </c>
      <c r="J36" s="9">
        <v>4750</v>
      </c>
      <c r="K36" s="9">
        <v>4750</v>
      </c>
      <c r="L36" s="9">
        <v>4750</v>
      </c>
      <c r="M36" s="9">
        <v>4750</v>
      </c>
      <c r="N36" s="22">
        <f t="shared" si="8"/>
        <v>57000</v>
      </c>
    </row>
    <row r="37" spans="1:14" ht="29" x14ac:dyDescent="0.35">
      <c r="A37" s="6" t="s">
        <v>94</v>
      </c>
      <c r="B37" s="9">
        <v>25000</v>
      </c>
      <c r="C37" s="9">
        <v>25000</v>
      </c>
      <c r="D37" s="9">
        <v>26000</v>
      </c>
      <c r="E37" s="9">
        <v>26000</v>
      </c>
      <c r="F37" s="9">
        <v>27000</v>
      </c>
      <c r="G37" s="9">
        <v>27000</v>
      </c>
      <c r="H37" s="9">
        <v>28000</v>
      </c>
      <c r="I37" s="9">
        <v>28000</v>
      </c>
      <c r="J37" s="9">
        <v>29000</v>
      </c>
      <c r="K37" s="9">
        <v>29000</v>
      </c>
      <c r="L37" s="9">
        <v>30000</v>
      </c>
      <c r="M37" s="9">
        <v>35000</v>
      </c>
      <c r="N37" s="22">
        <f t="shared" si="8"/>
        <v>335000</v>
      </c>
    </row>
    <row r="38" spans="1:14" ht="29" x14ac:dyDescent="0.35">
      <c r="A38" s="7" t="s">
        <v>54</v>
      </c>
      <c r="B38" s="22">
        <f>SUM(B34:B37)</f>
        <v>278150</v>
      </c>
      <c r="C38" s="22">
        <f t="shared" ref="C38:N38" si="9">SUM(C34:C37)</f>
        <v>278150</v>
      </c>
      <c r="D38" s="22">
        <f t="shared" si="9"/>
        <v>280350</v>
      </c>
      <c r="E38" s="22">
        <f t="shared" si="9"/>
        <v>280350</v>
      </c>
      <c r="F38" s="22">
        <f t="shared" si="9"/>
        <v>282550</v>
      </c>
      <c r="G38" s="22">
        <f t="shared" si="9"/>
        <v>282550</v>
      </c>
      <c r="H38" s="22">
        <f t="shared" si="9"/>
        <v>284750</v>
      </c>
      <c r="I38" s="22">
        <f t="shared" si="9"/>
        <v>284750</v>
      </c>
      <c r="J38" s="22">
        <f t="shared" si="9"/>
        <v>286950</v>
      </c>
      <c r="K38" s="22">
        <f t="shared" si="9"/>
        <v>286950</v>
      </c>
      <c r="L38" s="22">
        <f t="shared" si="9"/>
        <v>289150</v>
      </c>
      <c r="M38" s="22">
        <f t="shared" si="9"/>
        <v>294150</v>
      </c>
      <c r="N38" s="22">
        <f t="shared" si="9"/>
        <v>3408800</v>
      </c>
    </row>
    <row r="41" spans="1:14" ht="43.5" x14ac:dyDescent="0.35">
      <c r="A41" s="3" t="s">
        <v>111</v>
      </c>
      <c r="B41" s="5" t="s">
        <v>23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29</v>
      </c>
      <c r="I41" s="5" t="s">
        <v>30</v>
      </c>
      <c r="J41" s="5" t="s">
        <v>31</v>
      </c>
      <c r="K41" s="5" t="s">
        <v>32</v>
      </c>
      <c r="L41" s="5" t="s">
        <v>33</v>
      </c>
      <c r="M41" s="5" t="s">
        <v>34</v>
      </c>
      <c r="N41" s="5" t="s">
        <v>87</v>
      </c>
    </row>
    <row r="42" spans="1:14" ht="29" x14ac:dyDescent="0.35">
      <c r="A42" s="6" t="s">
        <v>37</v>
      </c>
      <c r="B42" s="9">
        <v>267000</v>
      </c>
      <c r="C42" s="9">
        <v>267000</v>
      </c>
      <c r="D42" s="9">
        <v>268000</v>
      </c>
      <c r="E42" s="9">
        <v>268000</v>
      </c>
      <c r="F42" s="9">
        <v>269000</v>
      </c>
      <c r="G42" s="9">
        <v>269000</v>
      </c>
      <c r="H42" s="9">
        <v>270000</v>
      </c>
      <c r="I42" s="9">
        <v>270000</v>
      </c>
      <c r="J42" s="9">
        <v>271000</v>
      </c>
      <c r="K42" s="9">
        <v>271000</v>
      </c>
      <c r="L42" s="9">
        <v>272000</v>
      </c>
      <c r="M42" s="9">
        <v>272000</v>
      </c>
      <c r="N42" s="22">
        <f>SUM(B42:M42)</f>
        <v>3234000</v>
      </c>
    </row>
    <row r="43" spans="1:14" ht="29" x14ac:dyDescent="0.35">
      <c r="A43" s="6" t="s">
        <v>38</v>
      </c>
      <c r="B43" s="9">
        <v>53400</v>
      </c>
      <c r="C43" s="9">
        <v>53400</v>
      </c>
      <c r="D43" s="9">
        <v>53600</v>
      </c>
      <c r="E43" s="9">
        <v>53600</v>
      </c>
      <c r="F43" s="9">
        <v>53800</v>
      </c>
      <c r="G43" s="9">
        <v>53800</v>
      </c>
      <c r="H43" s="9">
        <v>54000</v>
      </c>
      <c r="I43" s="9">
        <v>54000</v>
      </c>
      <c r="J43" s="9">
        <v>54200</v>
      </c>
      <c r="K43" s="9">
        <v>54200</v>
      </c>
      <c r="L43" s="9">
        <v>54400</v>
      </c>
      <c r="M43" s="9">
        <v>54400</v>
      </c>
      <c r="N43" s="22">
        <f t="shared" ref="N43:N45" si="10">SUM(B43:M43)</f>
        <v>646800</v>
      </c>
    </row>
    <row r="44" spans="1:14" ht="29" x14ac:dyDescent="0.35">
      <c r="A44" s="6" t="s">
        <v>40</v>
      </c>
      <c r="B44" s="9">
        <v>9000</v>
      </c>
      <c r="C44" s="9">
        <v>9000</v>
      </c>
      <c r="D44" s="9">
        <v>9000</v>
      </c>
      <c r="E44" s="9">
        <v>9000</v>
      </c>
      <c r="F44" s="9">
        <v>9000</v>
      </c>
      <c r="G44" s="9">
        <v>9000</v>
      </c>
      <c r="H44" s="9">
        <v>9000</v>
      </c>
      <c r="I44" s="9">
        <v>9000</v>
      </c>
      <c r="J44" s="9">
        <v>9000</v>
      </c>
      <c r="K44" s="9">
        <v>9000</v>
      </c>
      <c r="L44" s="9">
        <v>9000</v>
      </c>
      <c r="M44" s="9">
        <v>9000</v>
      </c>
      <c r="N44" s="22">
        <f t="shared" si="10"/>
        <v>108000</v>
      </c>
    </row>
    <row r="45" spans="1:14" ht="29" x14ac:dyDescent="0.35">
      <c r="A45" s="6" t="s">
        <v>41</v>
      </c>
      <c r="B45" s="9">
        <v>5000</v>
      </c>
      <c r="C45" s="9">
        <v>5000</v>
      </c>
      <c r="D45" s="9">
        <v>5000</v>
      </c>
      <c r="E45" s="9">
        <v>5500</v>
      </c>
      <c r="F45" s="9">
        <v>5500</v>
      </c>
      <c r="G45" s="9">
        <v>5500</v>
      </c>
      <c r="H45" s="9">
        <v>6000</v>
      </c>
      <c r="I45" s="9">
        <v>6000</v>
      </c>
      <c r="J45" s="9">
        <v>6000</v>
      </c>
      <c r="K45" s="9">
        <v>6000</v>
      </c>
      <c r="L45" s="9">
        <v>6500</v>
      </c>
      <c r="M45" s="9">
        <v>6500</v>
      </c>
      <c r="N45" s="22">
        <f t="shared" si="10"/>
        <v>68500</v>
      </c>
    </row>
    <row r="46" spans="1:14" ht="58" x14ac:dyDescent="0.35">
      <c r="A46" s="7" t="s">
        <v>55</v>
      </c>
      <c r="B46" s="22">
        <f>SUM(B42:B45)</f>
        <v>334400</v>
      </c>
      <c r="C46" s="22">
        <f t="shared" ref="C46:N46" si="11">SUM(C42:C45)</f>
        <v>334400</v>
      </c>
      <c r="D46" s="22">
        <f t="shared" si="11"/>
        <v>335600</v>
      </c>
      <c r="E46" s="22">
        <f t="shared" si="11"/>
        <v>336100</v>
      </c>
      <c r="F46" s="22">
        <f t="shared" si="11"/>
        <v>337300</v>
      </c>
      <c r="G46" s="22">
        <f t="shared" si="11"/>
        <v>337300</v>
      </c>
      <c r="H46" s="22">
        <f t="shared" si="11"/>
        <v>339000</v>
      </c>
      <c r="I46" s="22">
        <f t="shared" si="11"/>
        <v>339000</v>
      </c>
      <c r="J46" s="22">
        <f t="shared" si="11"/>
        <v>340200</v>
      </c>
      <c r="K46" s="22">
        <f t="shared" si="11"/>
        <v>340200</v>
      </c>
      <c r="L46" s="22">
        <f t="shared" si="11"/>
        <v>341900</v>
      </c>
      <c r="M46" s="22">
        <f t="shared" si="11"/>
        <v>341900</v>
      </c>
      <c r="N46" s="22">
        <f t="shared" si="11"/>
        <v>4057300</v>
      </c>
    </row>
    <row r="49" spans="1:14" ht="29" x14ac:dyDescent="0.35">
      <c r="A49" s="3" t="s">
        <v>112</v>
      </c>
      <c r="B49" s="5" t="s">
        <v>23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29</v>
      </c>
      <c r="I49" s="5" t="s">
        <v>30</v>
      </c>
      <c r="J49" s="5" t="s">
        <v>31</v>
      </c>
      <c r="K49" s="5" t="s">
        <v>32</v>
      </c>
      <c r="L49" s="5" t="s">
        <v>33</v>
      </c>
      <c r="M49" s="5" t="s">
        <v>34</v>
      </c>
      <c r="N49" s="5" t="s">
        <v>87</v>
      </c>
    </row>
    <row r="50" spans="1:14" ht="29" x14ac:dyDescent="0.35">
      <c r="A50" s="6" t="s">
        <v>37</v>
      </c>
      <c r="B50" s="9">
        <v>247000</v>
      </c>
      <c r="C50" s="9">
        <v>247000</v>
      </c>
      <c r="D50" s="9">
        <v>248000</v>
      </c>
      <c r="E50" s="9">
        <v>248000</v>
      </c>
      <c r="F50" s="9">
        <v>249000</v>
      </c>
      <c r="G50" s="9">
        <v>249000</v>
      </c>
      <c r="H50" s="9">
        <v>250000</v>
      </c>
      <c r="I50" s="9">
        <v>250000</v>
      </c>
      <c r="J50" s="9">
        <v>251000</v>
      </c>
      <c r="K50" s="9">
        <v>251000</v>
      </c>
      <c r="L50" s="9">
        <v>252000</v>
      </c>
      <c r="M50" s="9">
        <v>252000</v>
      </c>
      <c r="N50" s="22">
        <f>SUM(B50:M50)</f>
        <v>2994000</v>
      </c>
    </row>
    <row r="51" spans="1:14" ht="29" x14ac:dyDescent="0.35">
      <c r="A51" s="6" t="s">
        <v>38</v>
      </c>
      <c r="B51" s="9">
        <v>49400</v>
      </c>
      <c r="C51" s="9">
        <v>49400</v>
      </c>
      <c r="D51" s="9">
        <v>49600</v>
      </c>
      <c r="E51" s="9">
        <v>49600</v>
      </c>
      <c r="F51" s="9">
        <v>49800</v>
      </c>
      <c r="G51" s="9">
        <v>49800</v>
      </c>
      <c r="H51" s="9">
        <v>50000</v>
      </c>
      <c r="I51" s="9">
        <v>50000</v>
      </c>
      <c r="J51" s="9">
        <v>50200</v>
      </c>
      <c r="K51" s="9">
        <v>50200</v>
      </c>
      <c r="L51" s="9">
        <v>50400</v>
      </c>
      <c r="M51" s="9">
        <v>50400</v>
      </c>
      <c r="N51" s="22">
        <f t="shared" ref="N51:N54" si="12">SUM(B51:M51)</f>
        <v>598800</v>
      </c>
    </row>
    <row r="52" spans="1:14" ht="29" x14ac:dyDescent="0.35">
      <c r="A52" s="6" t="s">
        <v>40</v>
      </c>
      <c r="B52" s="9">
        <v>6750</v>
      </c>
      <c r="C52" s="9">
        <v>6750</v>
      </c>
      <c r="D52" s="9">
        <v>6750</v>
      </c>
      <c r="E52" s="9">
        <v>6750</v>
      </c>
      <c r="F52" s="9">
        <v>6750</v>
      </c>
      <c r="G52" s="9">
        <v>6750</v>
      </c>
      <c r="H52" s="9">
        <v>6750</v>
      </c>
      <c r="I52" s="9">
        <v>6750</v>
      </c>
      <c r="J52" s="9">
        <v>6750</v>
      </c>
      <c r="K52" s="9">
        <v>6750</v>
      </c>
      <c r="L52" s="9">
        <v>6750</v>
      </c>
      <c r="M52" s="9">
        <v>6750</v>
      </c>
      <c r="N52" s="22">
        <f t="shared" si="12"/>
        <v>81000</v>
      </c>
    </row>
    <row r="53" spans="1:14" ht="43.5" x14ac:dyDescent="0.35">
      <c r="A53" s="6" t="s">
        <v>57</v>
      </c>
      <c r="B53" s="9">
        <v>36000</v>
      </c>
      <c r="C53" s="9">
        <v>36000</v>
      </c>
      <c r="D53" s="9">
        <v>37000</v>
      </c>
      <c r="E53" s="9">
        <v>37000</v>
      </c>
      <c r="F53" s="9">
        <v>38000</v>
      </c>
      <c r="G53" s="9">
        <v>38000</v>
      </c>
      <c r="H53" s="9">
        <v>39000</v>
      </c>
      <c r="I53" s="9">
        <v>39000</v>
      </c>
      <c r="J53" s="9">
        <v>40000</v>
      </c>
      <c r="K53" s="9">
        <v>40000</v>
      </c>
      <c r="L53" s="9">
        <v>41000</v>
      </c>
      <c r="M53" s="9">
        <v>45000</v>
      </c>
      <c r="N53" s="22">
        <f t="shared" si="12"/>
        <v>466000</v>
      </c>
    </row>
    <row r="54" spans="1:14" ht="29" x14ac:dyDescent="0.35">
      <c r="A54" s="6" t="s">
        <v>58</v>
      </c>
      <c r="B54" s="9">
        <v>13500</v>
      </c>
      <c r="C54" s="9">
        <v>13500</v>
      </c>
      <c r="D54" s="9">
        <v>13500</v>
      </c>
      <c r="E54" s="9">
        <v>13500</v>
      </c>
      <c r="F54" s="9">
        <v>13500</v>
      </c>
      <c r="G54" s="9">
        <v>13500</v>
      </c>
      <c r="H54" s="9">
        <v>13500</v>
      </c>
      <c r="I54" s="9">
        <v>13500</v>
      </c>
      <c r="J54" s="9">
        <v>13500</v>
      </c>
      <c r="K54" s="9">
        <v>13500</v>
      </c>
      <c r="L54" s="9">
        <v>13500</v>
      </c>
      <c r="M54" s="9">
        <v>13500</v>
      </c>
      <c r="N54" s="22">
        <f t="shared" si="12"/>
        <v>162000</v>
      </c>
    </row>
    <row r="55" spans="1:14" ht="29" x14ac:dyDescent="0.35">
      <c r="A55" s="7" t="s">
        <v>59</v>
      </c>
      <c r="B55" s="22">
        <f>SUM(B50:B54)</f>
        <v>352650</v>
      </c>
      <c r="C55" s="22">
        <f t="shared" ref="C55:N55" si="13">SUM(C50:C54)</f>
        <v>352650</v>
      </c>
      <c r="D55" s="22">
        <f t="shared" si="13"/>
        <v>354850</v>
      </c>
      <c r="E55" s="22">
        <f t="shared" si="13"/>
        <v>354850</v>
      </c>
      <c r="F55" s="22">
        <f t="shared" si="13"/>
        <v>357050</v>
      </c>
      <c r="G55" s="22">
        <f t="shared" si="13"/>
        <v>357050</v>
      </c>
      <c r="H55" s="22">
        <f t="shared" si="13"/>
        <v>359250</v>
      </c>
      <c r="I55" s="22">
        <f t="shared" si="13"/>
        <v>359250</v>
      </c>
      <c r="J55" s="22">
        <f t="shared" si="13"/>
        <v>361450</v>
      </c>
      <c r="K55" s="22">
        <f t="shared" si="13"/>
        <v>361450</v>
      </c>
      <c r="L55" s="22">
        <f t="shared" si="13"/>
        <v>363650</v>
      </c>
      <c r="M55" s="22">
        <f t="shared" si="13"/>
        <v>367650</v>
      </c>
      <c r="N55" s="22">
        <f t="shared" si="13"/>
        <v>4301800</v>
      </c>
    </row>
    <row r="58" spans="1:14" ht="29" x14ac:dyDescent="0.35">
      <c r="A58" s="3" t="s">
        <v>113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29</v>
      </c>
      <c r="I58" s="5" t="s">
        <v>30</v>
      </c>
      <c r="J58" s="5" t="s">
        <v>31</v>
      </c>
      <c r="K58" s="5" t="s">
        <v>32</v>
      </c>
      <c r="L58" s="5" t="s">
        <v>33</v>
      </c>
      <c r="M58" s="5" t="s">
        <v>34</v>
      </c>
      <c r="N58" s="5" t="s">
        <v>87</v>
      </c>
    </row>
    <row r="59" spans="1:14" x14ac:dyDescent="0.35">
      <c r="A59" s="6" t="s">
        <v>6</v>
      </c>
      <c r="B59" s="16">
        <f>B4</f>
        <v>3650000</v>
      </c>
      <c r="C59" s="16">
        <f t="shared" ref="C59:M59" si="14">C4</f>
        <v>3720000</v>
      </c>
      <c r="D59" s="16">
        <f t="shared" si="14"/>
        <v>4180000</v>
      </c>
      <c r="E59" s="16">
        <f t="shared" si="14"/>
        <v>4250000</v>
      </c>
      <c r="F59" s="16">
        <f t="shared" si="14"/>
        <v>4300000</v>
      </c>
      <c r="G59" s="16">
        <f t="shared" si="14"/>
        <v>4340000</v>
      </c>
      <c r="H59" s="16">
        <f t="shared" si="14"/>
        <v>4380000</v>
      </c>
      <c r="I59" s="16">
        <f t="shared" si="14"/>
        <v>4420000</v>
      </c>
      <c r="J59" s="16">
        <f t="shared" si="14"/>
        <v>4900000</v>
      </c>
      <c r="K59" s="16">
        <f t="shared" si="14"/>
        <v>4960000</v>
      </c>
      <c r="L59" s="16">
        <f t="shared" si="14"/>
        <v>5020000</v>
      </c>
      <c r="M59" s="16">
        <f t="shared" si="14"/>
        <v>5930000</v>
      </c>
      <c r="N59" s="18">
        <f>SUM(B59:M59)</f>
        <v>54050000</v>
      </c>
    </row>
    <row r="60" spans="1:14" x14ac:dyDescent="0.35">
      <c r="A60" s="6"/>
      <c r="B60" s="6"/>
      <c r="C60" s="6"/>
      <c r="D60" s="6"/>
      <c r="E60" s="6"/>
      <c r="F60" s="6"/>
      <c r="G60" s="19"/>
      <c r="H60" s="19"/>
      <c r="I60" s="19"/>
      <c r="J60" s="19"/>
      <c r="K60" s="19"/>
      <c r="L60" s="19"/>
      <c r="M60" s="19"/>
      <c r="N60" s="18"/>
    </row>
    <row r="61" spans="1:14" x14ac:dyDescent="0.35">
      <c r="A61" s="6" t="s">
        <v>64</v>
      </c>
      <c r="B61" s="16">
        <f>B13</f>
        <v>822000</v>
      </c>
      <c r="C61" s="16">
        <f t="shared" ref="C61:M61" si="15">C13</f>
        <v>826000</v>
      </c>
      <c r="D61" s="16">
        <f t="shared" si="15"/>
        <v>853000</v>
      </c>
      <c r="E61" s="16">
        <f t="shared" si="15"/>
        <v>856000</v>
      </c>
      <c r="F61" s="16">
        <f t="shared" si="15"/>
        <v>865000</v>
      </c>
      <c r="G61" s="16">
        <f t="shared" si="15"/>
        <v>866000</v>
      </c>
      <c r="H61" s="16">
        <f t="shared" si="15"/>
        <v>875000</v>
      </c>
      <c r="I61" s="16">
        <f t="shared" si="15"/>
        <v>877000</v>
      </c>
      <c r="J61" s="16">
        <f t="shared" si="15"/>
        <v>905000</v>
      </c>
      <c r="K61" s="16">
        <f t="shared" si="15"/>
        <v>907000</v>
      </c>
      <c r="L61" s="16">
        <f t="shared" si="15"/>
        <v>917000</v>
      </c>
      <c r="M61" s="16">
        <f t="shared" si="15"/>
        <v>960000</v>
      </c>
      <c r="N61" s="18">
        <f t="shared" ref="N61:N67" si="16">SUM(B61:M61)</f>
        <v>10529000</v>
      </c>
    </row>
    <row r="62" spans="1:14" ht="29" x14ac:dyDescent="0.35">
      <c r="A62" s="6" t="s">
        <v>65</v>
      </c>
      <c r="B62" s="16">
        <f>B22</f>
        <v>483100</v>
      </c>
      <c r="C62" s="16">
        <f t="shared" ref="C62:M62" si="17">C22</f>
        <v>488100</v>
      </c>
      <c r="D62" s="16">
        <f t="shared" si="17"/>
        <v>504800</v>
      </c>
      <c r="E62" s="16">
        <f t="shared" si="17"/>
        <v>509800</v>
      </c>
      <c r="F62" s="16">
        <f t="shared" si="17"/>
        <v>516000</v>
      </c>
      <c r="G62" s="16">
        <f t="shared" si="17"/>
        <v>521000</v>
      </c>
      <c r="H62" s="16">
        <f t="shared" si="17"/>
        <v>527700</v>
      </c>
      <c r="I62" s="16">
        <f t="shared" si="17"/>
        <v>532700</v>
      </c>
      <c r="J62" s="16">
        <f t="shared" si="17"/>
        <v>553900</v>
      </c>
      <c r="K62" s="16">
        <f t="shared" si="17"/>
        <v>558900</v>
      </c>
      <c r="L62" s="16">
        <f t="shared" si="17"/>
        <v>565600</v>
      </c>
      <c r="M62" s="16">
        <f t="shared" si="17"/>
        <v>605600</v>
      </c>
      <c r="N62" s="18">
        <f t="shared" si="16"/>
        <v>6367200</v>
      </c>
    </row>
    <row r="63" spans="1:14" ht="29" x14ac:dyDescent="0.35">
      <c r="A63" s="6" t="s">
        <v>66</v>
      </c>
      <c r="B63" s="20">
        <f>B30</f>
        <v>1347500</v>
      </c>
      <c r="C63" s="20">
        <f t="shared" ref="C63:M63" si="18">C30</f>
        <v>1352500</v>
      </c>
      <c r="D63" s="20">
        <f t="shared" si="18"/>
        <v>1363500</v>
      </c>
      <c r="E63" s="20">
        <f t="shared" si="18"/>
        <v>1368500</v>
      </c>
      <c r="F63" s="20">
        <f t="shared" si="18"/>
        <v>1379500</v>
      </c>
      <c r="G63" s="20">
        <f t="shared" si="18"/>
        <v>1384500</v>
      </c>
      <c r="H63" s="20">
        <f>H30</f>
        <v>1395500</v>
      </c>
      <c r="I63" s="20">
        <f t="shared" si="18"/>
        <v>1400500</v>
      </c>
      <c r="J63" s="20">
        <f t="shared" si="18"/>
        <v>1416500</v>
      </c>
      <c r="K63" s="20">
        <f t="shared" si="18"/>
        <v>1421500</v>
      </c>
      <c r="L63" s="20">
        <f t="shared" si="18"/>
        <v>1432500</v>
      </c>
      <c r="M63" s="20">
        <f t="shared" si="18"/>
        <v>1452500</v>
      </c>
      <c r="N63" s="18">
        <f t="shared" si="16"/>
        <v>16715000</v>
      </c>
    </row>
    <row r="64" spans="1:14" ht="29" x14ac:dyDescent="0.35">
      <c r="A64" s="6" t="s">
        <v>67</v>
      </c>
      <c r="B64" s="20">
        <f>B38</f>
        <v>278150</v>
      </c>
      <c r="C64" s="20">
        <f t="shared" ref="C64:M64" si="19">C38</f>
        <v>278150</v>
      </c>
      <c r="D64" s="20">
        <f t="shared" si="19"/>
        <v>280350</v>
      </c>
      <c r="E64" s="20">
        <f t="shared" si="19"/>
        <v>280350</v>
      </c>
      <c r="F64" s="20">
        <f t="shared" si="19"/>
        <v>282550</v>
      </c>
      <c r="G64" s="20">
        <f t="shared" si="19"/>
        <v>282550</v>
      </c>
      <c r="H64" s="20">
        <f t="shared" si="19"/>
        <v>284750</v>
      </c>
      <c r="I64" s="20">
        <f t="shared" si="19"/>
        <v>284750</v>
      </c>
      <c r="J64" s="20">
        <f t="shared" si="19"/>
        <v>286950</v>
      </c>
      <c r="K64" s="20">
        <f t="shared" si="19"/>
        <v>286950</v>
      </c>
      <c r="L64" s="20">
        <f t="shared" si="19"/>
        <v>289150</v>
      </c>
      <c r="M64" s="20">
        <f t="shared" si="19"/>
        <v>294150</v>
      </c>
      <c r="N64" s="18">
        <f t="shared" si="16"/>
        <v>3408800</v>
      </c>
    </row>
    <row r="65" spans="1:14" ht="43.5" x14ac:dyDescent="0.35">
      <c r="A65" s="6" t="s">
        <v>68</v>
      </c>
      <c r="B65" s="20">
        <f>B46</f>
        <v>334400</v>
      </c>
      <c r="C65" s="20">
        <f t="shared" ref="C65:M65" si="20">C46</f>
        <v>334400</v>
      </c>
      <c r="D65" s="20">
        <f t="shared" si="20"/>
        <v>335600</v>
      </c>
      <c r="E65" s="20">
        <f t="shared" si="20"/>
        <v>336100</v>
      </c>
      <c r="F65" s="20">
        <f t="shared" si="20"/>
        <v>337300</v>
      </c>
      <c r="G65" s="20">
        <f t="shared" si="20"/>
        <v>337300</v>
      </c>
      <c r="H65" s="20">
        <f t="shared" si="20"/>
        <v>339000</v>
      </c>
      <c r="I65" s="20">
        <f t="shared" si="20"/>
        <v>339000</v>
      </c>
      <c r="J65" s="20">
        <f t="shared" si="20"/>
        <v>340200</v>
      </c>
      <c r="K65" s="20">
        <f t="shared" si="20"/>
        <v>340200</v>
      </c>
      <c r="L65" s="20">
        <f t="shared" si="20"/>
        <v>341900</v>
      </c>
      <c r="M65" s="20">
        <f t="shared" si="20"/>
        <v>341900</v>
      </c>
      <c r="N65" s="18">
        <f t="shared" si="16"/>
        <v>4057300</v>
      </c>
    </row>
    <row r="66" spans="1:14" x14ac:dyDescent="0.35">
      <c r="A66" s="6" t="s">
        <v>69</v>
      </c>
      <c r="B66" s="20">
        <f>B55</f>
        <v>352650</v>
      </c>
      <c r="C66" s="20">
        <f t="shared" ref="C66:M66" si="21">C55</f>
        <v>352650</v>
      </c>
      <c r="D66" s="20">
        <f t="shared" si="21"/>
        <v>354850</v>
      </c>
      <c r="E66" s="20">
        <f t="shared" si="21"/>
        <v>354850</v>
      </c>
      <c r="F66" s="20">
        <f t="shared" si="21"/>
        <v>357050</v>
      </c>
      <c r="G66" s="20">
        <f t="shared" si="21"/>
        <v>357050</v>
      </c>
      <c r="H66" s="20">
        <f t="shared" si="21"/>
        <v>359250</v>
      </c>
      <c r="I66" s="20">
        <f t="shared" si="21"/>
        <v>359250</v>
      </c>
      <c r="J66" s="20">
        <f t="shared" si="21"/>
        <v>361450</v>
      </c>
      <c r="K66" s="20">
        <f t="shared" si="21"/>
        <v>361450</v>
      </c>
      <c r="L66" s="20">
        <f t="shared" si="21"/>
        <v>363650</v>
      </c>
      <c r="M66" s="20">
        <f t="shared" si="21"/>
        <v>367650</v>
      </c>
      <c r="N66" s="18">
        <f t="shared" si="16"/>
        <v>4301800</v>
      </c>
    </row>
    <row r="67" spans="1:14" ht="43.5" x14ac:dyDescent="0.35">
      <c r="A67" s="7" t="s">
        <v>70</v>
      </c>
      <c r="B67" s="16">
        <f>SUM(B61:B66)</f>
        <v>3617800</v>
      </c>
      <c r="C67" s="16">
        <f t="shared" ref="C67:M67" si="22">SUM(C61:C66)</f>
        <v>3631800</v>
      </c>
      <c r="D67" s="16">
        <f t="shared" si="22"/>
        <v>3692100</v>
      </c>
      <c r="E67" s="16">
        <f t="shared" si="22"/>
        <v>3705600</v>
      </c>
      <c r="F67" s="16">
        <f t="shared" si="22"/>
        <v>3737400</v>
      </c>
      <c r="G67" s="16">
        <f t="shared" si="22"/>
        <v>3748400</v>
      </c>
      <c r="H67" s="16">
        <f t="shared" si="22"/>
        <v>3781200</v>
      </c>
      <c r="I67" s="16">
        <f t="shared" si="22"/>
        <v>3793200</v>
      </c>
      <c r="J67" s="16">
        <f t="shared" si="22"/>
        <v>3864000</v>
      </c>
      <c r="K67" s="16">
        <f t="shared" si="22"/>
        <v>3876000</v>
      </c>
      <c r="L67" s="16">
        <f t="shared" si="22"/>
        <v>3909800</v>
      </c>
      <c r="M67" s="16">
        <f t="shared" si="22"/>
        <v>4021800</v>
      </c>
      <c r="N67" s="18">
        <f t="shared" si="16"/>
        <v>45379100</v>
      </c>
    </row>
    <row r="68" spans="1:14" x14ac:dyDescent="0.35">
      <c r="A68" s="6"/>
      <c r="B68" s="6"/>
      <c r="C68" s="6"/>
      <c r="D68" s="6"/>
      <c r="E68" s="6"/>
      <c r="F68" s="6"/>
      <c r="G68" s="19"/>
      <c r="H68" s="19"/>
      <c r="I68" s="19"/>
      <c r="J68" s="19"/>
      <c r="K68" s="19"/>
      <c r="L68" s="19"/>
      <c r="M68" s="19"/>
      <c r="N68" s="19"/>
    </row>
    <row r="69" spans="1:14" ht="29" x14ac:dyDescent="0.35">
      <c r="A69" s="7" t="s">
        <v>71</v>
      </c>
      <c r="B69" s="16">
        <f>B59-B67</f>
        <v>32200</v>
      </c>
      <c r="C69" s="16">
        <f t="shared" ref="C69:N69" si="23">C59-C67</f>
        <v>88200</v>
      </c>
      <c r="D69" s="16">
        <f t="shared" si="23"/>
        <v>487900</v>
      </c>
      <c r="E69" s="16">
        <f t="shared" si="23"/>
        <v>544400</v>
      </c>
      <c r="F69" s="16">
        <f t="shared" si="23"/>
        <v>562600</v>
      </c>
      <c r="G69" s="16">
        <f t="shared" si="23"/>
        <v>591600</v>
      </c>
      <c r="H69" s="16">
        <f t="shared" si="23"/>
        <v>598800</v>
      </c>
      <c r="I69" s="16">
        <f t="shared" si="23"/>
        <v>626800</v>
      </c>
      <c r="J69" s="16">
        <f t="shared" si="23"/>
        <v>1036000</v>
      </c>
      <c r="K69" s="16">
        <f t="shared" si="23"/>
        <v>1084000</v>
      </c>
      <c r="L69" s="16">
        <f t="shared" si="23"/>
        <v>1110200</v>
      </c>
      <c r="M69" s="16">
        <f t="shared" si="23"/>
        <v>1908200</v>
      </c>
      <c r="N69" s="16">
        <f t="shared" si="23"/>
        <v>8670900</v>
      </c>
    </row>
    <row r="70" spans="1:14" ht="29" x14ac:dyDescent="0.35">
      <c r="A70" s="7" t="s">
        <v>72</v>
      </c>
      <c r="B70" s="21">
        <f>B69/B59</f>
        <v>8.8219178082191776E-3</v>
      </c>
      <c r="C70" s="21">
        <f t="shared" ref="C70:M70" si="24">C69/C59</f>
        <v>2.3709677419354837E-2</v>
      </c>
      <c r="D70" s="21">
        <f t="shared" si="24"/>
        <v>0.11672248803827751</v>
      </c>
      <c r="E70" s="21">
        <f t="shared" si="24"/>
        <v>0.12809411764705883</v>
      </c>
      <c r="F70" s="21">
        <f t="shared" si="24"/>
        <v>0.13083720930232559</v>
      </c>
      <c r="G70" s="21">
        <f t="shared" si="24"/>
        <v>0.13631336405529954</v>
      </c>
      <c r="H70" s="21">
        <f t="shared" si="24"/>
        <v>0.13671232876712328</v>
      </c>
      <c r="I70" s="21">
        <f t="shared" si="24"/>
        <v>0.14180995475113123</v>
      </c>
      <c r="J70" s="21">
        <f t="shared" si="24"/>
        <v>0.21142857142857144</v>
      </c>
      <c r="K70" s="21">
        <f t="shared" si="24"/>
        <v>0.21854838709677418</v>
      </c>
      <c r="L70" s="21">
        <f t="shared" si="24"/>
        <v>0.22115537848605576</v>
      </c>
      <c r="M70" s="21">
        <f t="shared" si="24"/>
        <v>0.32178752107925801</v>
      </c>
      <c r="N70" s="21">
        <f>N69/N59</f>
        <v>0.1604236817761332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E14A-E32E-47B4-9667-81E104F7E578}">
  <dimension ref="A1:F94"/>
  <sheetViews>
    <sheetView workbookViewId="0">
      <selection activeCell="F3" sqref="F3"/>
    </sheetView>
  </sheetViews>
  <sheetFormatPr defaultRowHeight="14.5" x14ac:dyDescent="0.35"/>
  <cols>
    <col min="2" max="3" width="11.26953125" bestFit="1" customWidth="1"/>
    <col min="4" max="4" width="11.453125" bestFit="1" customWidth="1"/>
    <col min="5" max="5" width="12" customWidth="1"/>
    <col min="6" max="6" width="4.54296875" bestFit="1" customWidth="1"/>
  </cols>
  <sheetData>
    <row r="1" spans="1:6" ht="58" x14ac:dyDescent="0.35">
      <c r="A1" s="3" t="s">
        <v>120</v>
      </c>
      <c r="B1" s="5" t="s">
        <v>114</v>
      </c>
      <c r="C1" s="5" t="s">
        <v>115</v>
      </c>
      <c r="D1" s="5" t="s">
        <v>116</v>
      </c>
      <c r="E1" s="5" t="s">
        <v>117</v>
      </c>
      <c r="F1" s="3" t="s">
        <v>118</v>
      </c>
    </row>
    <row r="2" spans="1:6" ht="29" x14ac:dyDescent="0.35">
      <c r="A2" s="6" t="s">
        <v>6</v>
      </c>
      <c r="B2" s="9">
        <f>'2024_budget'!B59</f>
        <v>2800000.0000000005</v>
      </c>
      <c r="C2" s="9">
        <f>'2024_actual'!B59</f>
        <v>2690000</v>
      </c>
      <c r="D2" s="9">
        <f>C2-B2</f>
        <v>-110000.00000000047</v>
      </c>
      <c r="E2" s="10">
        <f>D2/B2</f>
        <v>-3.9285714285714445E-2</v>
      </c>
      <c r="F2" s="6" t="str">
        <f>IF(C2&gt;=B2,"F","U")</f>
        <v>U</v>
      </c>
    </row>
    <row r="3" spans="1:6" ht="29" x14ac:dyDescent="0.35">
      <c r="A3" s="6" t="s">
        <v>64</v>
      </c>
      <c r="B3" s="9">
        <f>'2024_budget'!B61</f>
        <v>655166.66666666663</v>
      </c>
      <c r="C3" s="9">
        <f>'2024_actual'!B61</f>
        <v>627000</v>
      </c>
      <c r="D3" s="9">
        <f>C3-B3</f>
        <v>-28166.666666666628</v>
      </c>
      <c r="E3" s="10">
        <f t="shared" ref="E3:E11" si="0">D3/B3</f>
        <v>-4.2991605189519153E-2</v>
      </c>
      <c r="F3" s="6" t="str">
        <f>IF(C3&lt;=B3,"F","U")</f>
        <v>F</v>
      </c>
    </row>
    <row r="4" spans="1:6" ht="43.5" x14ac:dyDescent="0.35">
      <c r="A4" s="6" t="s">
        <v>65</v>
      </c>
      <c r="B4" s="9">
        <f>'2024_budget'!B62</f>
        <v>367166.66666666669</v>
      </c>
      <c r="C4" s="9">
        <f>'2024_actual'!B62</f>
        <v>375200</v>
      </c>
      <c r="D4" s="9">
        <f>C4-B4</f>
        <v>8033.3333333333139</v>
      </c>
      <c r="E4" s="10">
        <f t="shared" si="0"/>
        <v>2.187925556059913E-2</v>
      </c>
      <c r="F4" s="6" t="str">
        <f t="shared" ref="F4:F9" si="1">IF(C4&lt;=B4,"F","U")</f>
        <v>U</v>
      </c>
    </row>
    <row r="5" spans="1:6" ht="43.5" x14ac:dyDescent="0.35">
      <c r="A5" s="6" t="s">
        <v>66</v>
      </c>
      <c r="B5" s="9">
        <f>'2024_budget'!B63</f>
        <v>1074500</v>
      </c>
      <c r="C5" s="9">
        <f>'2024_actual'!B63</f>
        <v>1072000</v>
      </c>
      <c r="D5" s="9">
        <f>C5-B5</f>
        <v>-2500</v>
      </c>
      <c r="E5" s="10">
        <f t="shared" si="0"/>
        <v>-2.3266635644485808E-3</v>
      </c>
      <c r="F5" s="6" t="str">
        <f t="shared" si="1"/>
        <v>F</v>
      </c>
    </row>
    <row r="6" spans="1:6" ht="29" x14ac:dyDescent="0.35">
      <c r="A6" s="6" t="s">
        <v>67</v>
      </c>
      <c r="B6" s="9">
        <f>'2024_budget'!B64</f>
        <v>212083.33333333334</v>
      </c>
      <c r="C6" s="9">
        <f>'2024_actual'!B64</f>
        <v>208950</v>
      </c>
      <c r="D6" s="9">
        <f>C6-B6</f>
        <v>-3133.333333333343</v>
      </c>
      <c r="E6" s="10">
        <f t="shared" si="0"/>
        <v>-1.477406679764248E-2</v>
      </c>
      <c r="F6" s="6" t="str">
        <f t="shared" si="1"/>
        <v>F</v>
      </c>
    </row>
    <row r="7" spans="1:6" ht="43.5" x14ac:dyDescent="0.35">
      <c r="A7" s="6" t="s">
        <v>68</v>
      </c>
      <c r="B7" s="9">
        <f>'2024_budget'!B65</f>
        <v>267500</v>
      </c>
      <c r="C7" s="9">
        <f>'2024_actual'!B65</f>
        <v>261100</v>
      </c>
      <c r="D7" s="9">
        <f>C7-B7</f>
        <v>-6400</v>
      </c>
      <c r="E7" s="10">
        <f t="shared" si="0"/>
        <v>-2.3925233644859812E-2</v>
      </c>
      <c r="F7" s="6" t="str">
        <f t="shared" si="1"/>
        <v>F</v>
      </c>
    </row>
    <row r="8" spans="1:6" ht="29" x14ac:dyDescent="0.35">
      <c r="A8" s="6" t="s">
        <v>69</v>
      </c>
      <c r="B8" s="9">
        <f>'2024_budget'!B66</f>
        <v>314583.33333333331</v>
      </c>
      <c r="C8" s="9">
        <f>'2024_actual'!B66</f>
        <v>307950</v>
      </c>
      <c r="D8" s="9">
        <f>C8-B8</f>
        <v>-6633.3333333333139</v>
      </c>
      <c r="E8" s="10">
        <f t="shared" si="0"/>
        <v>-2.1086092715231729E-2</v>
      </c>
      <c r="F8" s="6" t="str">
        <f t="shared" si="1"/>
        <v>F</v>
      </c>
    </row>
    <row r="9" spans="1:6" ht="58" x14ac:dyDescent="0.35">
      <c r="A9" s="7" t="s">
        <v>70</v>
      </c>
      <c r="B9" s="22">
        <f>'2024_budget'!B67</f>
        <v>2891000</v>
      </c>
      <c r="C9" s="22">
        <f>'2024_actual'!B67</f>
        <v>2852200</v>
      </c>
      <c r="D9" s="9">
        <f>C9-B9</f>
        <v>-38800</v>
      </c>
      <c r="E9" s="10">
        <f t="shared" si="0"/>
        <v>-1.3420961604980975E-2</v>
      </c>
      <c r="F9" s="6" t="str">
        <f t="shared" si="1"/>
        <v>F</v>
      </c>
    </row>
    <row r="10" spans="1:6" ht="29" x14ac:dyDescent="0.35">
      <c r="A10" s="7" t="s">
        <v>71</v>
      </c>
      <c r="B10" s="22">
        <f>'2024_budget'!B69</f>
        <v>-90999.999999999534</v>
      </c>
      <c r="C10" s="22">
        <f>'2024_actual'!B69</f>
        <v>-162200</v>
      </c>
      <c r="D10" s="9">
        <f>C10-B10</f>
        <v>-71200.000000000466</v>
      </c>
      <c r="E10" s="10">
        <f t="shared" si="0"/>
        <v>0.78241758241759152</v>
      </c>
      <c r="F10" s="6" t="str">
        <f>IF(C10&gt;=B10,"F","U")</f>
        <v>U</v>
      </c>
    </row>
    <row r="11" spans="1:6" ht="29" x14ac:dyDescent="0.35">
      <c r="A11" s="7" t="s">
        <v>72</v>
      </c>
      <c r="B11" s="23">
        <f>'2024_budget'!B70</f>
        <v>-3.2499999999999828E-2</v>
      </c>
      <c r="C11" s="23">
        <f>'2024_actual'!B70</f>
        <v>-6.0297397769516731E-2</v>
      </c>
      <c r="D11" s="24">
        <f>(C11-B11)*100</f>
        <v>-2.7797397769516903</v>
      </c>
      <c r="E11" s="10" t="s">
        <v>119</v>
      </c>
      <c r="F11" s="6" t="str">
        <f>IF(C11&gt;=B11,"F","U")</f>
        <v>U</v>
      </c>
    </row>
    <row r="14" spans="1:6" ht="43.5" x14ac:dyDescent="0.35">
      <c r="A14" s="3" t="s">
        <v>121</v>
      </c>
      <c r="B14" s="5" t="s">
        <v>114</v>
      </c>
      <c r="C14" s="5" t="s">
        <v>115</v>
      </c>
      <c r="D14" s="5" t="s">
        <v>116</v>
      </c>
      <c r="E14" s="5" t="s">
        <v>117</v>
      </c>
      <c r="F14" s="3" t="s">
        <v>118</v>
      </c>
    </row>
    <row r="15" spans="1:6" ht="29" x14ac:dyDescent="0.35">
      <c r="A15" s="6" t="s">
        <v>6</v>
      </c>
      <c r="B15" s="9">
        <f>'2024_budget'!N59</f>
        <v>40000000</v>
      </c>
      <c r="C15" s="9">
        <f>'2024_actual'!N59</f>
        <v>39000000</v>
      </c>
      <c r="D15" s="9">
        <f>C15-B15</f>
        <v>-1000000</v>
      </c>
      <c r="E15" s="10">
        <f>D15/B15</f>
        <v>-2.5000000000000001E-2</v>
      </c>
      <c r="F15" s="6" t="str">
        <f>IF(C15&gt;=B15,"F","U")</f>
        <v>U</v>
      </c>
    </row>
    <row r="16" spans="1:6" ht="29" x14ac:dyDescent="0.35">
      <c r="A16" s="6" t="s">
        <v>64</v>
      </c>
      <c r="B16" s="9">
        <f>'2024_budget'!N61</f>
        <v>8150000.0000000009</v>
      </c>
      <c r="C16" s="9">
        <f>'2024_actual'!N61</f>
        <v>7987000</v>
      </c>
      <c r="D16" s="9">
        <f>C16-B16</f>
        <v>-163000.00000000093</v>
      </c>
      <c r="E16" s="10">
        <f t="shared" ref="E16:E23" si="2">D16/B16</f>
        <v>-2.0000000000000111E-2</v>
      </c>
      <c r="F16" s="6" t="str">
        <f>IF(C16&lt;=B16,"F","U")</f>
        <v>F</v>
      </c>
    </row>
    <row r="17" spans="1:6" ht="43.5" x14ac:dyDescent="0.35">
      <c r="A17" s="6" t="s">
        <v>65</v>
      </c>
      <c r="B17" s="9">
        <f>'2024_budget'!N62</f>
        <v>4790000</v>
      </c>
      <c r="C17" s="9">
        <f>'2024_actual'!N62</f>
        <v>4972400</v>
      </c>
      <c r="D17" s="9">
        <f>C17-B17</f>
        <v>182400</v>
      </c>
      <c r="E17" s="10">
        <f t="shared" si="2"/>
        <v>3.8079331941544885E-2</v>
      </c>
      <c r="F17" s="6" t="str">
        <f t="shared" ref="F17:F22" si="3">IF(C17&lt;=B17,"F","U")</f>
        <v>U</v>
      </c>
    </row>
    <row r="18" spans="1:6" ht="43.5" x14ac:dyDescent="0.35">
      <c r="A18" s="6" t="s">
        <v>66</v>
      </c>
      <c r="B18" s="9">
        <f>'2024_budget'!N63</f>
        <v>13150000</v>
      </c>
      <c r="C18" s="9">
        <f>'2024_actual'!N63</f>
        <v>13304000</v>
      </c>
      <c r="D18" s="9">
        <f>C18-B18</f>
        <v>154000</v>
      </c>
      <c r="E18" s="10">
        <f t="shared" si="2"/>
        <v>1.1711026615969582E-2</v>
      </c>
      <c r="F18" s="6" t="str">
        <f t="shared" si="3"/>
        <v>U</v>
      </c>
    </row>
    <row r="19" spans="1:6" ht="29" x14ac:dyDescent="0.35">
      <c r="A19" s="6" t="s">
        <v>67</v>
      </c>
      <c r="B19" s="9">
        <f>'2024_budget'!N64</f>
        <v>2545000</v>
      </c>
      <c r="C19" s="9">
        <f>'2024_actual'!N64</f>
        <v>2556200</v>
      </c>
      <c r="D19" s="9">
        <f>C19-B19</f>
        <v>11200</v>
      </c>
      <c r="E19" s="10">
        <f t="shared" si="2"/>
        <v>4.4007858546168963E-3</v>
      </c>
      <c r="F19" s="6" t="str">
        <f t="shared" si="3"/>
        <v>U</v>
      </c>
    </row>
    <row r="20" spans="1:6" ht="43.5" x14ac:dyDescent="0.35">
      <c r="A20" s="6" t="s">
        <v>68</v>
      </c>
      <c r="B20" s="9">
        <f>'2024_budget'!N65</f>
        <v>3210000</v>
      </c>
      <c r="C20" s="9">
        <f>'2024_actual'!N65</f>
        <v>3189700</v>
      </c>
      <c r="D20" s="9">
        <f>C20-B20</f>
        <v>-20300</v>
      </c>
      <c r="E20" s="10">
        <f t="shared" si="2"/>
        <v>-6.32398753894081E-3</v>
      </c>
      <c r="F20" s="6" t="str">
        <f t="shared" si="3"/>
        <v>F</v>
      </c>
    </row>
    <row r="21" spans="1:6" ht="29" x14ac:dyDescent="0.35">
      <c r="A21" s="6" t="s">
        <v>69</v>
      </c>
      <c r="B21" s="9">
        <f>'2024_budget'!N66</f>
        <v>3775000.0000000005</v>
      </c>
      <c r="C21" s="9">
        <f>'2024_actual'!N66</f>
        <v>3789400</v>
      </c>
      <c r="D21" s="9">
        <f>C21-B21</f>
        <v>14399.999999999534</v>
      </c>
      <c r="E21" s="10">
        <f t="shared" si="2"/>
        <v>3.8145695364237174E-3</v>
      </c>
      <c r="F21" s="6" t="str">
        <f t="shared" si="3"/>
        <v>U</v>
      </c>
    </row>
    <row r="22" spans="1:6" ht="58" x14ac:dyDescent="0.35">
      <c r="A22" s="7" t="s">
        <v>70</v>
      </c>
      <c r="B22" s="22">
        <f>'2024_budget'!N67</f>
        <v>35620000</v>
      </c>
      <c r="C22" s="22">
        <f>'2024_actual'!N67</f>
        <v>35798700</v>
      </c>
      <c r="D22" s="9">
        <f>C22-B22</f>
        <v>178700</v>
      </c>
      <c r="E22" s="10">
        <f t="shared" si="2"/>
        <v>5.0168444693992143E-3</v>
      </c>
      <c r="F22" s="6" t="str">
        <f t="shared" si="3"/>
        <v>U</v>
      </c>
    </row>
    <row r="23" spans="1:6" ht="29" x14ac:dyDescent="0.35">
      <c r="A23" s="7" t="s">
        <v>71</v>
      </c>
      <c r="B23" s="22">
        <f>'2024_budget'!N69</f>
        <v>4380000</v>
      </c>
      <c r="C23" s="22">
        <f>'2024_actual'!N69</f>
        <v>3201300</v>
      </c>
      <c r="D23" s="9">
        <f>C23-B23</f>
        <v>-1178700</v>
      </c>
      <c r="E23" s="10">
        <f t="shared" si="2"/>
        <v>-0.26910958904109589</v>
      </c>
      <c r="F23" s="6" t="str">
        <f>IF(C23&gt;=B23,"F","U")</f>
        <v>U</v>
      </c>
    </row>
    <row r="24" spans="1:6" ht="29" x14ac:dyDescent="0.35">
      <c r="A24" s="7" t="s">
        <v>72</v>
      </c>
      <c r="B24" s="23">
        <f>'2024_budget'!N70</f>
        <v>0.1095</v>
      </c>
      <c r="C24" s="23">
        <f>'2024_actual'!N70</f>
        <v>8.2084615384615381E-2</v>
      </c>
      <c r="D24" s="24">
        <f>(C24-B24)*100</f>
        <v>-2.7415384615384619</v>
      </c>
      <c r="E24" s="10" t="s">
        <v>119</v>
      </c>
      <c r="F24" s="6" t="str">
        <f>IF(C24&gt;=B24,"F","U")</f>
        <v>U</v>
      </c>
    </row>
    <row r="27" spans="1:6" ht="58" x14ac:dyDescent="0.35">
      <c r="A27" s="3" t="s">
        <v>122</v>
      </c>
      <c r="B27" s="5" t="s">
        <v>114</v>
      </c>
      <c r="C27" s="5" t="s">
        <v>115</v>
      </c>
      <c r="D27" s="5" t="s">
        <v>116</v>
      </c>
      <c r="E27" s="5" t="s">
        <v>117</v>
      </c>
      <c r="F27" s="3" t="s">
        <v>118</v>
      </c>
    </row>
    <row r="28" spans="1:6" ht="29" x14ac:dyDescent="0.35">
      <c r="A28" s="6" t="s">
        <v>6</v>
      </c>
      <c r="B28" s="9">
        <f>'2025_budget'!B59</f>
        <v>3220000.0000000005</v>
      </c>
      <c r="C28" s="9">
        <f>'2025_actual'!B59</f>
        <v>3160000</v>
      </c>
      <c r="D28" s="9">
        <f>C28-B28</f>
        <v>-60000.000000000466</v>
      </c>
      <c r="E28" s="10">
        <f>D28/B28</f>
        <v>-1.863354037267095E-2</v>
      </c>
      <c r="F28" s="6" t="str">
        <f>IF(C28&gt;=B28,"F","U")</f>
        <v>U</v>
      </c>
    </row>
    <row r="29" spans="1:6" ht="29" x14ac:dyDescent="0.35">
      <c r="A29" s="6" t="s">
        <v>64</v>
      </c>
      <c r="B29" s="9">
        <f>'2025_budget'!B61</f>
        <v>743483.33333333337</v>
      </c>
      <c r="C29" s="9">
        <f>'2025_actual'!B61</f>
        <v>733750</v>
      </c>
      <c r="D29" s="9">
        <f>C29-B29</f>
        <v>-9733.3333333333721</v>
      </c>
      <c r="E29" s="10">
        <f t="shared" ref="E29:E36" si="4">D29/B29</f>
        <v>-1.3091528615301896E-2</v>
      </c>
      <c r="F29" s="6" t="str">
        <f>IF(C29&lt;=B29,"F","U")</f>
        <v>F</v>
      </c>
    </row>
    <row r="30" spans="1:6" ht="43.5" x14ac:dyDescent="0.35">
      <c r="A30" s="6" t="s">
        <v>65</v>
      </c>
      <c r="B30" s="9">
        <f>'2025_budget'!B62</f>
        <v>418553.33333333331</v>
      </c>
      <c r="C30" s="9">
        <f>'2025_actual'!B62</f>
        <v>423100</v>
      </c>
      <c r="D30" s="9">
        <f>C30-B30</f>
        <v>4546.6666666666861</v>
      </c>
      <c r="E30" s="10">
        <f t="shared" si="4"/>
        <v>1.0862813181912349E-2</v>
      </c>
      <c r="F30" s="6" t="str">
        <f t="shared" ref="F30:F35" si="5">IF(C30&lt;=B30,"F","U")</f>
        <v>U</v>
      </c>
    </row>
    <row r="31" spans="1:6" ht="43.5" x14ac:dyDescent="0.35">
      <c r="A31" s="6" t="s">
        <v>66</v>
      </c>
      <c r="B31" s="9">
        <f>'2025_budget'!B63</f>
        <v>1204580</v>
      </c>
      <c r="C31" s="9">
        <f>'2025_actual'!B63</f>
        <v>1208000</v>
      </c>
      <c r="D31" s="9">
        <f>C31-B31</f>
        <v>3420</v>
      </c>
      <c r="E31" s="10">
        <f t="shared" si="4"/>
        <v>2.8391638579421874E-3</v>
      </c>
      <c r="F31" s="6" t="str">
        <f t="shared" si="5"/>
        <v>U</v>
      </c>
    </row>
    <row r="32" spans="1:6" ht="29" x14ac:dyDescent="0.35">
      <c r="A32" s="6" t="s">
        <v>67</v>
      </c>
      <c r="B32" s="9">
        <f>'2025_budget'!B64</f>
        <v>248125</v>
      </c>
      <c r="C32" s="9">
        <f>'2025_actual'!B64</f>
        <v>244450</v>
      </c>
      <c r="D32" s="9">
        <f>C32-B32</f>
        <v>-3675</v>
      </c>
      <c r="E32" s="10">
        <f t="shared" si="4"/>
        <v>-1.4811083123425692E-2</v>
      </c>
      <c r="F32" s="6" t="str">
        <f t="shared" si="5"/>
        <v>F</v>
      </c>
    </row>
    <row r="33" spans="1:6" ht="43.5" x14ac:dyDescent="0.35">
      <c r="A33" s="6" t="s">
        <v>68</v>
      </c>
      <c r="B33" s="9">
        <f>'2025_budget'!B65</f>
        <v>302665</v>
      </c>
      <c r="C33" s="9">
        <f>'2025_actual'!B65</f>
        <v>297150</v>
      </c>
      <c r="D33" s="9">
        <f>C33-B33</f>
        <v>-5515</v>
      </c>
      <c r="E33" s="10">
        <f t="shared" si="4"/>
        <v>-1.8221465977235559E-2</v>
      </c>
      <c r="F33" s="6" t="str">
        <f t="shared" si="5"/>
        <v>F</v>
      </c>
    </row>
    <row r="34" spans="1:6" ht="29" x14ac:dyDescent="0.35">
      <c r="A34" s="6" t="s">
        <v>69</v>
      </c>
      <c r="B34" s="9">
        <f>'2025_budget'!B66</f>
        <v>336106.66666666669</v>
      </c>
      <c r="C34" s="9">
        <f>'2025_actual'!B66</f>
        <v>331900</v>
      </c>
      <c r="D34" s="9">
        <f>C34-B34</f>
        <v>-4206.6666666666861</v>
      </c>
      <c r="E34" s="10">
        <f t="shared" si="4"/>
        <v>-1.2515867978419606E-2</v>
      </c>
      <c r="F34" s="6" t="str">
        <f t="shared" si="5"/>
        <v>F</v>
      </c>
    </row>
    <row r="35" spans="1:6" ht="58" x14ac:dyDescent="0.35">
      <c r="A35" s="7" t="s">
        <v>70</v>
      </c>
      <c r="B35" s="22">
        <f>'2025_budget'!B67</f>
        <v>3253513.3333333335</v>
      </c>
      <c r="C35" s="22">
        <f>'2025_actual'!B67</f>
        <v>3238350</v>
      </c>
      <c r="D35" s="9">
        <f>C35-B35</f>
        <v>-15163.333333333489</v>
      </c>
      <c r="E35" s="10">
        <f t="shared" si="4"/>
        <v>-4.6606027945175635E-3</v>
      </c>
      <c r="F35" s="6" t="str">
        <f t="shared" si="5"/>
        <v>F</v>
      </c>
    </row>
    <row r="36" spans="1:6" ht="29" x14ac:dyDescent="0.35">
      <c r="A36" s="7" t="s">
        <v>71</v>
      </c>
      <c r="B36" s="22">
        <f>'2025_budget'!B69</f>
        <v>-33513.333333333023</v>
      </c>
      <c r="C36" s="22">
        <f>'2025_actual'!B69</f>
        <v>-78350</v>
      </c>
      <c r="D36" s="9">
        <f>C36-B36</f>
        <v>-44836.666666666977</v>
      </c>
      <c r="E36" s="10">
        <f t="shared" si="4"/>
        <v>1.3378754724487982</v>
      </c>
      <c r="F36" s="6" t="str">
        <f>IF(C36&gt;=B36,"F","U")</f>
        <v>U</v>
      </c>
    </row>
    <row r="37" spans="1:6" ht="29" x14ac:dyDescent="0.35">
      <c r="A37" s="7" t="s">
        <v>72</v>
      </c>
      <c r="B37" s="23">
        <f>'2025_budget'!B70</f>
        <v>-1.0407867494823919E-2</v>
      </c>
      <c r="C37" s="23">
        <f>'2025_actual'!B70</f>
        <v>-2.4794303797468355E-2</v>
      </c>
      <c r="D37" s="24">
        <f>(C37-B37)*100</f>
        <v>-1.4386436302644436</v>
      </c>
      <c r="E37" s="10" t="s">
        <v>119</v>
      </c>
      <c r="F37" s="6" t="str">
        <f>IF(C37&gt;=B37,"F","U")</f>
        <v>U</v>
      </c>
    </row>
    <row r="40" spans="1:6" ht="43.5" x14ac:dyDescent="0.35">
      <c r="A40" s="3" t="s">
        <v>123</v>
      </c>
      <c r="B40" s="5" t="s">
        <v>114</v>
      </c>
      <c r="C40" s="5" t="s">
        <v>115</v>
      </c>
      <c r="D40" s="5" t="s">
        <v>116</v>
      </c>
      <c r="E40" s="5" t="s">
        <v>117</v>
      </c>
      <c r="F40" s="3" t="s">
        <v>118</v>
      </c>
    </row>
    <row r="41" spans="1:6" ht="29" x14ac:dyDescent="0.35">
      <c r="A41" s="6" t="s">
        <v>6</v>
      </c>
      <c r="B41" s="9">
        <f>'2025_budget'!N59</f>
        <v>46000000</v>
      </c>
      <c r="C41" s="9">
        <f>'2025_actual'!N59</f>
        <v>46800000</v>
      </c>
      <c r="D41" s="9">
        <f>C41-B41</f>
        <v>800000</v>
      </c>
      <c r="E41" s="10">
        <f>D41/B41</f>
        <v>1.7391304347826087E-2</v>
      </c>
      <c r="F41" s="6" t="str">
        <f>IF(C41&gt;=B41,"F","U")</f>
        <v>F</v>
      </c>
    </row>
    <row r="42" spans="1:6" ht="29" x14ac:dyDescent="0.35">
      <c r="A42" s="6" t="s">
        <v>64</v>
      </c>
      <c r="B42" s="9">
        <f>'2025_budget'!N61</f>
        <v>9253000</v>
      </c>
      <c r="C42" s="9">
        <f>'2025_actual'!N61</f>
        <v>9386000</v>
      </c>
      <c r="D42" s="9">
        <f>C42-B42</f>
        <v>133000</v>
      </c>
      <c r="E42" s="10">
        <f t="shared" ref="E42:E49" si="6">D42/B42</f>
        <v>1.4373716632443531E-2</v>
      </c>
      <c r="F42" s="6" t="str">
        <f>IF(C42&lt;=B42,"F","U")</f>
        <v>U</v>
      </c>
    </row>
    <row r="43" spans="1:6" ht="43.5" x14ac:dyDescent="0.35">
      <c r="A43" s="6" t="s">
        <v>65</v>
      </c>
      <c r="B43" s="9">
        <f>'2025_budget'!N62</f>
        <v>5464240</v>
      </c>
      <c r="C43" s="9">
        <f>'2025_actual'!N62</f>
        <v>5701200</v>
      </c>
      <c r="D43" s="9">
        <f>C43-B43</f>
        <v>236960</v>
      </c>
      <c r="E43" s="10">
        <f t="shared" si="6"/>
        <v>4.3365591555275758E-2</v>
      </c>
      <c r="F43" s="6" t="str">
        <f t="shared" ref="F43:F48" si="7">IF(C43&lt;=B43,"F","U")</f>
        <v>U</v>
      </c>
    </row>
    <row r="44" spans="1:6" ht="43.5" x14ac:dyDescent="0.35">
      <c r="A44" s="6" t="s">
        <v>66</v>
      </c>
      <c r="B44" s="9">
        <f>'2025_budget'!N63</f>
        <v>14749360</v>
      </c>
      <c r="C44" s="9">
        <f>'2025_actual'!N63</f>
        <v>14936000</v>
      </c>
      <c r="D44" s="9">
        <f>C44-B44</f>
        <v>186640</v>
      </c>
      <c r="E44" s="10">
        <f t="shared" si="6"/>
        <v>1.2654108381651813E-2</v>
      </c>
      <c r="F44" s="6" t="str">
        <f t="shared" si="7"/>
        <v>U</v>
      </c>
    </row>
    <row r="45" spans="1:6" ht="29" x14ac:dyDescent="0.35">
      <c r="A45" s="6" t="s">
        <v>67</v>
      </c>
      <c r="B45" s="9">
        <f>'2025_budget'!N64</f>
        <v>2977500</v>
      </c>
      <c r="C45" s="9">
        <f>'2025_actual'!N64</f>
        <v>2993800</v>
      </c>
      <c r="D45" s="9">
        <f>C45-B45</f>
        <v>16300</v>
      </c>
      <c r="E45" s="10">
        <f t="shared" si="6"/>
        <v>5.4743912678421498E-3</v>
      </c>
      <c r="F45" s="6" t="str">
        <f t="shared" si="7"/>
        <v>U</v>
      </c>
    </row>
    <row r="46" spans="1:6" ht="43.5" x14ac:dyDescent="0.35">
      <c r="A46" s="6" t="s">
        <v>68</v>
      </c>
      <c r="B46" s="9">
        <f>'2025_budget'!N65</f>
        <v>3631980</v>
      </c>
      <c r="C46" s="9">
        <f>'2025_actual'!N65</f>
        <v>3609300</v>
      </c>
      <c r="D46" s="9">
        <f>C46-B46</f>
        <v>-22680</v>
      </c>
      <c r="E46" s="10">
        <f t="shared" si="6"/>
        <v>-6.2445277782366641E-3</v>
      </c>
      <c r="F46" s="6" t="str">
        <f t="shared" si="7"/>
        <v>F</v>
      </c>
    </row>
    <row r="47" spans="1:6" ht="29" x14ac:dyDescent="0.35">
      <c r="A47" s="6" t="s">
        <v>69</v>
      </c>
      <c r="B47" s="9">
        <f>'2025_budget'!N66</f>
        <v>4033279.9999999995</v>
      </c>
      <c r="C47" s="9">
        <f>'2025_actual'!N66</f>
        <v>4050800</v>
      </c>
      <c r="D47" s="9">
        <f>C47-B47</f>
        <v>17520.000000000466</v>
      </c>
      <c r="E47" s="10">
        <f t="shared" si="6"/>
        <v>4.3438590923517506E-3</v>
      </c>
      <c r="F47" s="6" t="str">
        <f t="shared" si="7"/>
        <v>U</v>
      </c>
    </row>
    <row r="48" spans="1:6" ht="58" x14ac:dyDescent="0.35">
      <c r="A48" s="7" t="s">
        <v>70</v>
      </c>
      <c r="B48" s="22">
        <f>'2025_budget'!N67</f>
        <v>40109360</v>
      </c>
      <c r="C48" s="22">
        <f>'2025_actual'!N67</f>
        <v>40677100</v>
      </c>
      <c r="D48" s="9">
        <f>C48-B48</f>
        <v>567740</v>
      </c>
      <c r="E48" s="10">
        <f t="shared" si="6"/>
        <v>1.4154800774682019E-2</v>
      </c>
      <c r="F48" s="6" t="str">
        <f t="shared" si="7"/>
        <v>U</v>
      </c>
    </row>
    <row r="49" spans="1:6" ht="29" x14ac:dyDescent="0.35">
      <c r="A49" s="7" t="s">
        <v>71</v>
      </c>
      <c r="B49" s="22">
        <f>'2025_budget'!N69</f>
        <v>5890640</v>
      </c>
      <c r="C49" s="22">
        <f>'2025_actual'!N69</f>
        <v>6122900</v>
      </c>
      <c r="D49" s="9">
        <f>C49-B49</f>
        <v>232260</v>
      </c>
      <c r="E49" s="10">
        <f t="shared" si="6"/>
        <v>3.9428652913775071E-2</v>
      </c>
      <c r="F49" s="6" t="str">
        <f>IF(C49&gt;=B49,"F","U")</f>
        <v>F</v>
      </c>
    </row>
    <row r="50" spans="1:6" ht="29" x14ac:dyDescent="0.35">
      <c r="A50" s="7" t="s">
        <v>72</v>
      </c>
      <c r="B50" s="23">
        <f>'2025_budget'!N70</f>
        <v>0.12805739130434782</v>
      </c>
      <c r="C50" s="23">
        <f>'2025_actual'!N70</f>
        <v>0.13083119658119657</v>
      </c>
      <c r="D50" s="24">
        <f>(C50-B50)*100</f>
        <v>0.27738052768487564</v>
      </c>
      <c r="E50" s="10" t="s">
        <v>119</v>
      </c>
      <c r="F50" s="6" t="str">
        <f>IF(C50&gt;=B50,"F","U")</f>
        <v>F</v>
      </c>
    </row>
    <row r="53" spans="1:6" ht="58" x14ac:dyDescent="0.35">
      <c r="A53" s="3" t="s">
        <v>124</v>
      </c>
      <c r="B53" s="5" t="s">
        <v>114</v>
      </c>
      <c r="C53" s="5" t="s">
        <v>115</v>
      </c>
      <c r="D53" s="5" t="s">
        <v>116</v>
      </c>
      <c r="E53" s="5" t="s">
        <v>117</v>
      </c>
      <c r="F53" s="3" t="s">
        <v>118</v>
      </c>
    </row>
    <row r="54" spans="1:6" ht="29" x14ac:dyDescent="0.35">
      <c r="A54" s="6" t="s">
        <v>6</v>
      </c>
      <c r="B54" s="9">
        <f>'2026_budget'!B59</f>
        <v>3703000.0000000005</v>
      </c>
      <c r="C54" s="9">
        <f>'2026_actual'!B59</f>
        <v>3650000</v>
      </c>
      <c r="D54" s="9">
        <f>C54-B54</f>
        <v>-53000.000000000466</v>
      </c>
      <c r="E54" s="10">
        <f>D54/B54</f>
        <v>-1.4312719416689296E-2</v>
      </c>
      <c r="F54" s="6" t="str">
        <f>IF(C54&gt;=B54,"F","U")</f>
        <v>U</v>
      </c>
    </row>
    <row r="55" spans="1:6" ht="29" x14ac:dyDescent="0.35">
      <c r="A55" s="6" t="s">
        <v>64</v>
      </c>
      <c r="B55" s="9">
        <f>'2026_budget'!B61</f>
        <v>838175</v>
      </c>
      <c r="C55" s="9">
        <f>'2026_actual'!B61</f>
        <v>822000</v>
      </c>
      <c r="D55" s="9">
        <f>C55-B55</f>
        <v>-16175</v>
      </c>
      <c r="E55" s="10">
        <f t="shared" ref="E55:E62" si="8">D55/B55</f>
        <v>-1.9297879321144153E-2</v>
      </c>
      <c r="F55" s="6" t="str">
        <f>IF(C55&lt;=B55,"F","U")</f>
        <v>F</v>
      </c>
    </row>
    <row r="56" spans="1:6" ht="43.5" x14ac:dyDescent="0.35">
      <c r="A56" s="6" t="s">
        <v>65</v>
      </c>
      <c r="B56" s="9">
        <f>'2026_budget'!B62</f>
        <v>475065.20000000007</v>
      </c>
      <c r="C56" s="9">
        <f>'2026_actual'!B62</f>
        <v>483100</v>
      </c>
      <c r="D56" s="9">
        <f>C56-B56</f>
        <v>8034.7999999999302</v>
      </c>
      <c r="E56" s="10">
        <f t="shared" si="8"/>
        <v>1.6913046882827722E-2</v>
      </c>
      <c r="F56" s="6" t="str">
        <f t="shared" ref="F56:F61" si="9">IF(C56&lt;=B56,"F","U")</f>
        <v>U</v>
      </c>
    </row>
    <row r="57" spans="1:6" ht="43.5" x14ac:dyDescent="0.35">
      <c r="A57" s="6" t="s">
        <v>66</v>
      </c>
      <c r="B57" s="9">
        <f>'2026_budget'!B63</f>
        <v>1343036.3</v>
      </c>
      <c r="C57" s="9">
        <f>'2026_actual'!B63</f>
        <v>1347500</v>
      </c>
      <c r="D57" s="9">
        <f>C57-B57</f>
        <v>4463.6999999999534</v>
      </c>
      <c r="E57" s="10">
        <f t="shared" si="8"/>
        <v>3.3235884986876031E-3</v>
      </c>
      <c r="F57" s="6" t="str">
        <f t="shared" si="9"/>
        <v>U</v>
      </c>
    </row>
    <row r="58" spans="1:6" ht="29" x14ac:dyDescent="0.35">
      <c r="A58" s="6" t="s">
        <v>67</v>
      </c>
      <c r="B58" s="9">
        <f>'2026_budget'!B64</f>
        <v>283797.08333333331</v>
      </c>
      <c r="C58" s="9">
        <f>'2026_actual'!B64</f>
        <v>278150</v>
      </c>
      <c r="D58" s="9">
        <f>C58-B58</f>
        <v>-5647.0833333333139</v>
      </c>
      <c r="E58" s="10">
        <f t="shared" si="8"/>
        <v>-1.9898313495704756E-2</v>
      </c>
      <c r="F58" s="6" t="str">
        <f t="shared" si="9"/>
        <v>F</v>
      </c>
    </row>
    <row r="59" spans="1:6" ht="43.5" x14ac:dyDescent="0.35">
      <c r="A59" s="6" t="s">
        <v>68</v>
      </c>
      <c r="B59" s="9">
        <f>'2026_budget'!B65</f>
        <v>339635.4</v>
      </c>
      <c r="C59" s="9">
        <f>'2026_actual'!B65</f>
        <v>334400</v>
      </c>
      <c r="D59" s="9">
        <f>C59-B59</f>
        <v>-5235.4000000000233</v>
      </c>
      <c r="E59" s="10">
        <f t="shared" si="8"/>
        <v>-1.5414765363092373E-2</v>
      </c>
      <c r="F59" s="6" t="str">
        <f t="shared" si="9"/>
        <v>F</v>
      </c>
    </row>
    <row r="60" spans="1:6" ht="29" x14ac:dyDescent="0.35">
      <c r="A60" s="6" t="s">
        <v>69</v>
      </c>
      <c r="B60" s="9">
        <f>'2026_budget'!B66</f>
        <v>358515.15</v>
      </c>
      <c r="C60" s="9">
        <f>'2026_actual'!B66</f>
        <v>352650</v>
      </c>
      <c r="D60" s="9">
        <f>C60-B60</f>
        <v>-5865.1500000000233</v>
      </c>
      <c r="E60" s="10">
        <f t="shared" si="8"/>
        <v>-1.6359559700615225E-2</v>
      </c>
      <c r="F60" s="6" t="str">
        <f t="shared" si="9"/>
        <v>F</v>
      </c>
    </row>
    <row r="61" spans="1:6" ht="58" x14ac:dyDescent="0.35">
      <c r="A61" s="7" t="s">
        <v>70</v>
      </c>
      <c r="B61" s="22">
        <f>'2026_budget'!B67</f>
        <v>3638224.1333333333</v>
      </c>
      <c r="C61" s="22">
        <f>'2026_actual'!B67</f>
        <v>3617800</v>
      </c>
      <c r="D61" s="9">
        <f>C61-B61</f>
        <v>-20424.133333333302</v>
      </c>
      <c r="E61" s="10">
        <f t="shared" si="8"/>
        <v>-5.6137644589314391E-3</v>
      </c>
      <c r="F61" s="6" t="str">
        <f t="shared" si="9"/>
        <v>F</v>
      </c>
    </row>
    <row r="62" spans="1:6" ht="29" x14ac:dyDescent="0.35">
      <c r="A62" s="7" t="s">
        <v>71</v>
      </c>
      <c r="B62" s="22">
        <f>'2026_budget'!B69</f>
        <v>64775.866666667163</v>
      </c>
      <c r="C62" s="22">
        <f>'2026_actual'!B69</f>
        <v>32200</v>
      </c>
      <c r="D62" s="9">
        <f>C62-B62</f>
        <v>-32575.866666667163</v>
      </c>
      <c r="E62" s="10">
        <f t="shared" si="8"/>
        <v>-0.5029012862815202</v>
      </c>
      <c r="F62" s="6" t="str">
        <f>IF(C62&gt;=B62,"F","U")</f>
        <v>U</v>
      </c>
    </row>
    <row r="63" spans="1:6" ht="29" x14ac:dyDescent="0.35">
      <c r="A63" s="7" t="s">
        <v>72</v>
      </c>
      <c r="B63" s="23">
        <f>'2026_budget'!B70</f>
        <v>1.7492807633450489E-2</v>
      </c>
      <c r="C63" s="23">
        <f>'2026_actual'!B70</f>
        <v>8.8219178082191776E-3</v>
      </c>
      <c r="D63" s="24">
        <f>(C63-B63)*100</f>
        <v>-0.86708898252313116</v>
      </c>
      <c r="E63" s="10" t="s">
        <v>119</v>
      </c>
      <c r="F63" s="6" t="str">
        <f>IF(C63&gt;=B63,"F","U")</f>
        <v>U</v>
      </c>
    </row>
    <row r="66" spans="1:6" ht="43.5" x14ac:dyDescent="0.35">
      <c r="A66" s="3" t="s">
        <v>125</v>
      </c>
      <c r="B66" s="5" t="s">
        <v>114</v>
      </c>
      <c r="C66" s="5" t="s">
        <v>115</v>
      </c>
      <c r="D66" s="5" t="s">
        <v>116</v>
      </c>
      <c r="E66" s="5" t="s">
        <v>117</v>
      </c>
      <c r="F66" s="3" t="s">
        <v>118</v>
      </c>
    </row>
    <row r="67" spans="1:6" ht="29" x14ac:dyDescent="0.35">
      <c r="A67" s="6" t="s">
        <v>6</v>
      </c>
      <c r="B67" s="9">
        <f>'2026_budget'!N59</f>
        <v>52900000</v>
      </c>
      <c r="C67" s="9">
        <f>'2026_actual'!N59</f>
        <v>54050000</v>
      </c>
      <c r="D67" s="9">
        <f>C67-B67</f>
        <v>1150000</v>
      </c>
      <c r="E67" s="10">
        <f>D67/B67</f>
        <v>2.1739130434782608E-2</v>
      </c>
      <c r="F67" s="6" t="str">
        <f>IF(C67&gt;=B67,"F","U")</f>
        <v>F</v>
      </c>
    </row>
    <row r="68" spans="1:6" ht="29" x14ac:dyDescent="0.35">
      <c r="A68" s="6" t="s">
        <v>64</v>
      </c>
      <c r="B68" s="9">
        <f>'2026_budget'!N61</f>
        <v>10438980</v>
      </c>
      <c r="C68" s="9">
        <f>'2026_actual'!N61</f>
        <v>10529000</v>
      </c>
      <c r="D68" s="9">
        <f>C68-B68</f>
        <v>90020</v>
      </c>
      <c r="E68" s="10">
        <f t="shared" ref="E68:E75" si="10">D68/B68</f>
        <v>8.6234478847550238E-3</v>
      </c>
      <c r="F68" s="6" t="str">
        <f>IF(C68&lt;=B68,"F","U")</f>
        <v>U</v>
      </c>
    </row>
    <row r="69" spans="1:6" ht="43.5" x14ac:dyDescent="0.35">
      <c r="A69" s="6" t="s">
        <v>65</v>
      </c>
      <c r="B69" s="9">
        <f>'2026_budget'!N62</f>
        <v>6208622.4000000013</v>
      </c>
      <c r="C69" s="9">
        <f>'2026_actual'!N62</f>
        <v>6367200</v>
      </c>
      <c r="D69" s="9">
        <f>C69-B69</f>
        <v>158577.5999999987</v>
      </c>
      <c r="E69" s="10">
        <f t="shared" si="10"/>
        <v>2.5541511430941372E-2</v>
      </c>
      <c r="F69" s="6" t="str">
        <f t="shared" ref="F69:F74" si="11">IF(C69&lt;=B69,"F","U")</f>
        <v>U</v>
      </c>
    </row>
    <row r="70" spans="1:6" ht="43.5" x14ac:dyDescent="0.35">
      <c r="A70" s="6" t="s">
        <v>66</v>
      </c>
      <c r="B70" s="9">
        <f>'2026_budget'!N63</f>
        <v>16454995.600000003</v>
      </c>
      <c r="C70" s="9">
        <f>'2026_actual'!N63</f>
        <v>16715000</v>
      </c>
      <c r="D70" s="9">
        <f>C70-B70</f>
        <v>260004.39999999665</v>
      </c>
      <c r="E70" s="10">
        <f t="shared" si="10"/>
        <v>1.5800940110855855E-2</v>
      </c>
      <c r="F70" s="6" t="str">
        <f t="shared" si="11"/>
        <v>U</v>
      </c>
    </row>
    <row r="71" spans="1:6" ht="29" x14ac:dyDescent="0.35">
      <c r="A71" s="6" t="s">
        <v>67</v>
      </c>
      <c r="B71" s="9">
        <f>'2026_budget'!N64</f>
        <v>3405565.0000000005</v>
      </c>
      <c r="C71" s="9">
        <f>'2026_actual'!N64</f>
        <v>3408800</v>
      </c>
      <c r="D71" s="9">
        <f>C71-B71</f>
        <v>3234.9999999995343</v>
      </c>
      <c r="E71" s="10">
        <f t="shared" si="10"/>
        <v>9.4991579958084312E-4</v>
      </c>
      <c r="F71" s="6" t="str">
        <f t="shared" si="11"/>
        <v>U</v>
      </c>
    </row>
    <row r="72" spans="1:6" ht="43.5" x14ac:dyDescent="0.35">
      <c r="A72" s="6" t="s">
        <v>68</v>
      </c>
      <c r="B72" s="9">
        <f>'2026_budget'!N65</f>
        <v>4075624.7999999993</v>
      </c>
      <c r="C72" s="9">
        <f>'2026_actual'!N65</f>
        <v>4057300</v>
      </c>
      <c r="D72" s="9">
        <f>C72-B72</f>
        <v>-18324.799999999348</v>
      </c>
      <c r="E72" s="10">
        <f t="shared" si="10"/>
        <v>-4.4961940559394356E-3</v>
      </c>
      <c r="F72" s="6" t="str">
        <f t="shared" si="11"/>
        <v>F</v>
      </c>
    </row>
    <row r="73" spans="1:6" ht="29" x14ac:dyDescent="0.35">
      <c r="A73" s="6" t="s">
        <v>69</v>
      </c>
      <c r="B73" s="9">
        <f>'2026_budget'!N66</f>
        <v>4302181.8</v>
      </c>
      <c r="C73" s="9">
        <f>'2026_actual'!N66</f>
        <v>4301800</v>
      </c>
      <c r="D73" s="9">
        <f>C73-B73</f>
        <v>-381.79999999981374</v>
      </c>
      <c r="E73" s="10">
        <f t="shared" si="10"/>
        <v>-8.8745668534931222E-5</v>
      </c>
      <c r="F73" s="6" t="str">
        <f t="shared" si="11"/>
        <v>F</v>
      </c>
    </row>
    <row r="74" spans="1:6" ht="58" x14ac:dyDescent="0.35">
      <c r="A74" s="7" t="s">
        <v>70</v>
      </c>
      <c r="B74" s="22">
        <f>'2026_budget'!N67</f>
        <v>44885969.600000001</v>
      </c>
      <c r="C74" s="22">
        <f>'2026_actual'!N67</f>
        <v>45379100</v>
      </c>
      <c r="D74" s="9">
        <f>C74-B74</f>
        <v>493130.39999999851</v>
      </c>
      <c r="E74" s="10">
        <f t="shared" si="10"/>
        <v>1.0986292696682628E-2</v>
      </c>
      <c r="F74" s="6" t="str">
        <f t="shared" si="11"/>
        <v>U</v>
      </c>
    </row>
    <row r="75" spans="1:6" ht="29" x14ac:dyDescent="0.35">
      <c r="A75" s="7" t="s">
        <v>71</v>
      </c>
      <c r="B75" s="22">
        <f>'2026_budget'!N69</f>
        <v>8014030.3999999985</v>
      </c>
      <c r="C75" s="22">
        <f>'2026_actual'!N69</f>
        <v>8670900</v>
      </c>
      <c r="D75" s="9">
        <f>C75-B75</f>
        <v>656869.60000000149</v>
      </c>
      <c r="E75" s="10">
        <f t="shared" si="10"/>
        <v>8.1964949870916584E-2</v>
      </c>
      <c r="F75" s="6" t="str">
        <f>IF(C75&gt;=B75,"F","U")</f>
        <v>F</v>
      </c>
    </row>
    <row r="76" spans="1:6" ht="29" x14ac:dyDescent="0.35">
      <c r="A76" s="7" t="s">
        <v>72</v>
      </c>
      <c r="B76" s="23">
        <f>'2026_budget'!N70</f>
        <v>0.15149395841209828</v>
      </c>
      <c r="C76" s="23">
        <f>'2026_actual'!N70</f>
        <v>0.1604236817761332</v>
      </c>
      <c r="D76" s="24">
        <f>(C76-B76)*100</f>
        <v>0.89297233640349138</v>
      </c>
      <c r="E76" s="10" t="s">
        <v>119</v>
      </c>
      <c r="F76" s="6" t="str">
        <f>IF(C76&gt;=B76,"F","U")</f>
        <v>F</v>
      </c>
    </row>
    <row r="79" spans="1:6" ht="29" x14ac:dyDescent="0.35">
      <c r="A79" s="3" t="s">
        <v>126</v>
      </c>
      <c r="B79" s="3" t="s">
        <v>127</v>
      </c>
      <c r="C79" s="5" t="s">
        <v>116</v>
      </c>
      <c r="D79" s="3" t="s">
        <v>118</v>
      </c>
      <c r="E79" s="3" t="s">
        <v>128</v>
      </c>
    </row>
    <row r="80" spans="1:6" ht="116" x14ac:dyDescent="0.35">
      <c r="A80" s="6">
        <v>2024</v>
      </c>
      <c r="B80" s="6" t="s">
        <v>22</v>
      </c>
      <c r="C80" s="9">
        <f>D15</f>
        <v>-1000000</v>
      </c>
      <c r="D80" s="25" t="str">
        <f>F15</f>
        <v>U</v>
      </c>
      <c r="E80" s="6" t="s">
        <v>129</v>
      </c>
    </row>
    <row r="81" spans="1:5" ht="174" x14ac:dyDescent="0.35">
      <c r="A81" s="6">
        <v>2024</v>
      </c>
      <c r="B81" s="6" t="s">
        <v>11</v>
      </c>
      <c r="C81" s="9">
        <f>D16</f>
        <v>-163000.00000000093</v>
      </c>
      <c r="D81" s="2" t="str">
        <f>F16</f>
        <v>F</v>
      </c>
      <c r="E81" s="6" t="s">
        <v>130</v>
      </c>
    </row>
    <row r="82" spans="1:5" ht="145" x14ac:dyDescent="0.35">
      <c r="A82" s="6">
        <v>2024</v>
      </c>
      <c r="B82" s="6" t="s">
        <v>13</v>
      </c>
      <c r="C82" s="9">
        <f>D17</f>
        <v>182400</v>
      </c>
      <c r="D82" s="2" t="str">
        <f>F17</f>
        <v>U</v>
      </c>
      <c r="E82" s="6" t="s">
        <v>131</v>
      </c>
    </row>
    <row r="83" spans="1:5" ht="116" x14ac:dyDescent="0.35">
      <c r="A83" s="6">
        <v>2024</v>
      </c>
      <c r="B83" s="6" t="s">
        <v>10</v>
      </c>
      <c r="C83" s="9">
        <f>D18</f>
        <v>154000</v>
      </c>
      <c r="D83" s="2" t="str">
        <f>F18</f>
        <v>U</v>
      </c>
      <c r="E83" s="6" t="s">
        <v>132</v>
      </c>
    </row>
    <row r="84" spans="1:5" ht="159.5" x14ac:dyDescent="0.35">
      <c r="A84" s="6">
        <v>2024</v>
      </c>
      <c r="B84" s="6" t="s">
        <v>71</v>
      </c>
      <c r="C84" s="9">
        <f>D23</f>
        <v>-1178700</v>
      </c>
      <c r="D84" s="2" t="str">
        <f>F23</f>
        <v>U</v>
      </c>
      <c r="E84" s="6" t="s">
        <v>133</v>
      </c>
    </row>
    <row r="85" spans="1:5" ht="101.5" x14ac:dyDescent="0.35">
      <c r="A85" s="6">
        <v>2025</v>
      </c>
      <c r="B85" s="6" t="s">
        <v>22</v>
      </c>
      <c r="C85" s="9">
        <f>D41</f>
        <v>800000</v>
      </c>
      <c r="D85" s="2" t="str">
        <f>F41</f>
        <v>F</v>
      </c>
      <c r="E85" s="6" t="s">
        <v>134</v>
      </c>
    </row>
    <row r="86" spans="1:5" ht="145" x14ac:dyDescent="0.35">
      <c r="A86" s="6">
        <v>2025</v>
      </c>
      <c r="B86" s="6" t="s">
        <v>11</v>
      </c>
      <c r="C86" s="9">
        <f>D42</f>
        <v>133000</v>
      </c>
      <c r="D86" s="2" t="str">
        <f>F42</f>
        <v>U</v>
      </c>
      <c r="E86" s="6" t="s">
        <v>135</v>
      </c>
    </row>
    <row r="87" spans="1:5" ht="116" x14ac:dyDescent="0.35">
      <c r="A87" s="6">
        <v>2025</v>
      </c>
      <c r="B87" s="6" t="s">
        <v>13</v>
      </c>
      <c r="C87" s="9">
        <f>D43</f>
        <v>236960</v>
      </c>
      <c r="D87" s="2" t="str">
        <f>F43</f>
        <v>U</v>
      </c>
      <c r="E87" s="6" t="s">
        <v>136</v>
      </c>
    </row>
    <row r="88" spans="1:5" ht="101.5" x14ac:dyDescent="0.35">
      <c r="A88" s="6">
        <v>2025</v>
      </c>
      <c r="B88" s="6" t="s">
        <v>10</v>
      </c>
      <c r="C88" s="9">
        <f>D44</f>
        <v>186640</v>
      </c>
      <c r="D88" s="2" t="str">
        <f>F44</f>
        <v>U</v>
      </c>
      <c r="E88" s="6" t="s">
        <v>137</v>
      </c>
    </row>
    <row r="89" spans="1:5" ht="130.5" x14ac:dyDescent="0.35">
      <c r="A89" s="6">
        <v>2025</v>
      </c>
      <c r="B89" s="6" t="s">
        <v>71</v>
      </c>
      <c r="C89" s="9">
        <f>D49</f>
        <v>232260</v>
      </c>
      <c r="D89" s="2" t="str">
        <f>F49</f>
        <v>F</v>
      </c>
      <c r="E89" s="6" t="s">
        <v>138</v>
      </c>
    </row>
    <row r="90" spans="1:5" ht="87" x14ac:dyDescent="0.35">
      <c r="A90" s="6">
        <v>2026</v>
      </c>
      <c r="B90" s="6" t="s">
        <v>22</v>
      </c>
      <c r="C90" s="9">
        <f>D67</f>
        <v>1150000</v>
      </c>
      <c r="D90" s="2" t="str">
        <f>F67</f>
        <v>F</v>
      </c>
      <c r="E90" s="6" t="s">
        <v>139</v>
      </c>
    </row>
    <row r="91" spans="1:5" ht="145" x14ac:dyDescent="0.35">
      <c r="A91" s="6">
        <v>2026</v>
      </c>
      <c r="B91" s="6" t="s">
        <v>11</v>
      </c>
      <c r="C91" s="9">
        <f>D68</f>
        <v>90020</v>
      </c>
      <c r="D91" s="2" t="str">
        <f>F68</f>
        <v>U</v>
      </c>
      <c r="E91" s="6" t="s">
        <v>140</v>
      </c>
    </row>
    <row r="92" spans="1:5" ht="116" x14ac:dyDescent="0.35">
      <c r="A92" s="6">
        <v>2026</v>
      </c>
      <c r="B92" s="6" t="s">
        <v>13</v>
      </c>
      <c r="C92" s="9">
        <f>D69</f>
        <v>158577.5999999987</v>
      </c>
      <c r="D92" s="2" t="str">
        <f>F69</f>
        <v>U</v>
      </c>
      <c r="E92" s="6" t="s">
        <v>141</v>
      </c>
    </row>
    <row r="93" spans="1:5" ht="145" x14ac:dyDescent="0.35">
      <c r="A93" s="6">
        <v>2026</v>
      </c>
      <c r="B93" s="6" t="s">
        <v>10</v>
      </c>
      <c r="C93" s="9">
        <f>D70</f>
        <v>260004.39999999665</v>
      </c>
      <c r="D93" s="2" t="str">
        <f>F70</f>
        <v>U</v>
      </c>
      <c r="E93" s="6" t="s">
        <v>142</v>
      </c>
    </row>
    <row r="94" spans="1:5" ht="130.5" x14ac:dyDescent="0.35">
      <c r="A94" s="6">
        <v>2026</v>
      </c>
      <c r="B94" s="6" t="s">
        <v>71</v>
      </c>
      <c r="C94" s="9">
        <f>D75</f>
        <v>656869.60000000149</v>
      </c>
      <c r="D94" s="2" t="str">
        <f>F75</f>
        <v>F</v>
      </c>
      <c r="E94" s="6" t="s">
        <v>143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5C44-9224-4AB1-BFAE-72629BCB1505}">
  <dimension ref="A1:N331"/>
  <sheetViews>
    <sheetView tabSelected="1" workbookViewId="0">
      <selection activeCell="N16" sqref="N16"/>
    </sheetView>
  </sheetViews>
  <sheetFormatPr defaultRowHeight="14.5" x14ac:dyDescent="0.35"/>
  <cols>
    <col min="1" max="1" width="9.08984375" bestFit="1" customWidth="1"/>
    <col min="2" max="2" width="4.81640625" bestFit="1" customWidth="1"/>
    <col min="3" max="3" width="6.08984375" bestFit="1" customWidth="1"/>
    <col min="4" max="4" width="16.08984375" bestFit="1" customWidth="1"/>
    <col min="5" max="5" width="24.26953125" bestFit="1" customWidth="1"/>
    <col min="6" max="7" width="12.90625" bestFit="1" customWidth="1"/>
    <col min="8" max="8" width="12.1796875" bestFit="1" customWidth="1"/>
    <col min="9" max="9" width="9.90625" bestFit="1" customWidth="1"/>
    <col min="10" max="10" width="4.54296875" bestFit="1" customWidth="1"/>
    <col min="13" max="13" width="4.81640625" bestFit="1" customWidth="1"/>
    <col min="14" max="14" width="21.08984375" bestFit="1" customWidth="1"/>
    <col min="15" max="15" width="13.90625" bestFit="1" customWidth="1"/>
    <col min="16" max="16" width="14.7265625" bestFit="1" customWidth="1"/>
    <col min="17" max="17" width="6.1796875" bestFit="1" customWidth="1"/>
  </cols>
  <sheetData>
    <row r="1" spans="1:14" ht="29" x14ac:dyDescent="0.35">
      <c r="A1" s="3" t="s">
        <v>144</v>
      </c>
      <c r="B1" s="5" t="s">
        <v>126</v>
      </c>
      <c r="C1" s="3" t="s">
        <v>73</v>
      </c>
      <c r="D1" s="3" t="s">
        <v>8</v>
      </c>
      <c r="E1" s="3" t="s">
        <v>145</v>
      </c>
      <c r="F1" s="5" t="s">
        <v>114</v>
      </c>
      <c r="G1" s="5" t="s">
        <v>115</v>
      </c>
      <c r="H1" s="5" t="s">
        <v>116</v>
      </c>
      <c r="I1" s="5" t="s">
        <v>117</v>
      </c>
      <c r="J1" s="3" t="s">
        <v>118</v>
      </c>
    </row>
    <row r="2" spans="1:14" x14ac:dyDescent="0.35">
      <c r="A2" s="27">
        <v>45292</v>
      </c>
      <c r="B2" s="4">
        <v>2024</v>
      </c>
      <c r="C2" s="6" t="s">
        <v>23</v>
      </c>
      <c r="D2" s="6" t="s">
        <v>146</v>
      </c>
      <c r="E2" s="6" t="s">
        <v>6</v>
      </c>
      <c r="F2" s="13" cm="1">
        <f t="array" ref="F2">_xlfn.SWITCH(B2,
2024,INDEX('2024_budget'!$B$59:$M$69,MATCH(E2,'2024_budget'!$A$59:$A$69,0),MATCH(C2,'2024_budget'!$B$58:$M$58,0)),
2025,INDEX('2025_budget'!$B$59:$M$69,MATCH(E2,'2025_budget'!$A$59:$A$69,0),MATCH(C2,'2025_budget'!$B$58:$M$58,0)),
2026,INDEX('2026_budget'!$B$59:$M$69,MATCH(E2,'2026_budget'!$A$59:$A$69,0),MATCH(C2,'2026_budget'!$B$58:$M$58,0))
)</f>
        <v>2800000.0000000005</v>
      </c>
      <c r="G2" s="13" cm="1">
        <f t="array" ref="G2">_xlfn.SWITCH(B2,
2024,INDEX('2024_actual'!$B$59:$M$69,MATCH(E2,'2024_actual'!$A$59:$A$69,0),MATCH(C2,'2024_actual'!$B$58:$M$58,0)),
2025,INDEX('2025_actual'!$B$59:$M$69,MATCH(E2,'2025_actual'!$A$59:$A$69,0),MATCH(C2,'2025_actual'!$B$58:$M$58,0)),
2026,INDEX('2026_actual'!$B$59:$M$69,MATCH(E2,'2026_actual'!$A$59:$A$69,0),MATCH(C2,'2026_actual'!$B$58:$M$58,0))
)</f>
        <v>2690000</v>
      </c>
      <c r="H2" s="13">
        <f>G2-F2</f>
        <v>-110000.00000000047</v>
      </c>
      <c r="I2" s="10">
        <f>IF(AND(E2="Operating Profit",F2&lt;=0),NA(),IFERROR(H2/F2,0))</f>
        <v>-3.9285714285714445E-2</v>
      </c>
      <c r="J2" s="6" t="str">
        <f>IF(G2&gt;=F2,"F","U")</f>
        <v>U</v>
      </c>
    </row>
    <row r="3" spans="1:14" x14ac:dyDescent="0.35">
      <c r="A3" s="27">
        <v>45292</v>
      </c>
      <c r="B3" s="4">
        <v>2024</v>
      </c>
      <c r="C3" s="6" t="s">
        <v>23</v>
      </c>
      <c r="D3" s="6" t="s">
        <v>11</v>
      </c>
      <c r="E3" s="6" t="s">
        <v>64</v>
      </c>
      <c r="F3" s="13" cm="1">
        <f t="array" ref="F3">_xlfn.SWITCH(B3,
2024,INDEX('2024_budget'!$B$59:$M$69,MATCH(E3,'2024_budget'!$A$59:$A$69,0),MATCH(C3,'2024_budget'!$B$58:$M$58,0)),
2025,INDEX('2025_budget'!$B$59:$M$69,MATCH(E3,'2025_budget'!$A$59:$A$69,0),MATCH(C3,'2025_budget'!$B$58:$M$58,0)),
2026,INDEX('2026_budget'!$B$59:$M$69,MATCH(E3,'2026_budget'!$A$59:$A$69,0),MATCH(C3,'2026_budget'!$B$58:$M$58,0))
)</f>
        <v>655166.66666666663</v>
      </c>
      <c r="G3" s="13" cm="1">
        <f t="array" ref="G3">_xlfn.SWITCH(B3,
2024,INDEX('2024_actual'!$B$59:$M$69,MATCH(E3,'2024_actual'!$A$59:$A$69,0),MATCH(C3,'2024_actual'!$B$58:$M$58,0)),
2025,INDEX('2025_actual'!$B$59:$M$69,MATCH(E3,'2025_actual'!$A$59:$A$69,0),MATCH(C3,'2025_actual'!$B$58:$M$58,0)),
2026,INDEX('2026_actual'!$B$59:$M$69,MATCH(E3,'2026_actual'!$A$59:$A$69,0),MATCH(C3,'2026_actual'!$B$58:$M$58,0))
)</f>
        <v>627000</v>
      </c>
      <c r="H3" s="13">
        <f t="shared" ref="H3:H10" si="0">G3-F3</f>
        <v>-28166.666666666628</v>
      </c>
      <c r="I3" s="10">
        <f t="shared" ref="I3:I66" si="1">IF(AND(E3="Operating Profit",F3&lt;=0),NA(),IFERROR(H3/F3,0))</f>
        <v>-4.2991605189519153E-2</v>
      </c>
      <c r="J3" s="6" t="str">
        <f>IF(G3&lt;=F3,"F","U")</f>
        <v>F</v>
      </c>
    </row>
    <row r="4" spans="1:14" x14ac:dyDescent="0.35">
      <c r="A4" s="27">
        <v>45292</v>
      </c>
      <c r="B4" s="4">
        <v>2024</v>
      </c>
      <c r="C4" s="6" t="s">
        <v>23</v>
      </c>
      <c r="D4" s="6" t="s">
        <v>13</v>
      </c>
      <c r="E4" s="6" t="s">
        <v>65</v>
      </c>
      <c r="F4" s="13" cm="1">
        <f t="array" ref="F4">_xlfn.SWITCH(B4,
2024,INDEX('2024_budget'!$B$59:$M$69,MATCH(E4,'2024_budget'!$A$59:$A$69,0),MATCH(C4,'2024_budget'!$B$58:$M$58,0)),
2025,INDEX('2025_budget'!$B$59:$M$69,MATCH(E4,'2025_budget'!$A$59:$A$69,0),MATCH(C4,'2025_budget'!$B$58:$M$58,0)),
2026,INDEX('2026_budget'!$B$59:$M$69,MATCH(E4,'2026_budget'!$A$59:$A$69,0),MATCH(C4,'2026_budget'!$B$58:$M$58,0))
)</f>
        <v>367166.66666666669</v>
      </c>
      <c r="G4" s="13" cm="1">
        <f t="array" ref="G4">_xlfn.SWITCH(B4,
2024,INDEX('2024_actual'!$B$59:$M$69,MATCH(E4,'2024_actual'!$A$59:$A$69,0),MATCH(C4,'2024_actual'!$B$58:$M$58,0)),
2025,INDEX('2025_actual'!$B$59:$M$69,MATCH(E4,'2025_actual'!$A$59:$A$69,0),MATCH(C4,'2025_actual'!$B$58:$M$58,0)),
2026,INDEX('2026_actual'!$B$59:$M$69,MATCH(E4,'2026_actual'!$A$59:$A$69,0),MATCH(C4,'2026_actual'!$B$58:$M$58,0))
)</f>
        <v>375200</v>
      </c>
      <c r="H4" s="13">
        <f t="shared" si="0"/>
        <v>8033.3333333333139</v>
      </c>
      <c r="I4" s="10">
        <f t="shared" si="1"/>
        <v>2.187925556059913E-2</v>
      </c>
      <c r="J4" s="6" t="str">
        <f t="shared" ref="J4:J9" si="2">IF(G4&lt;=F4,"F","U")</f>
        <v>U</v>
      </c>
    </row>
    <row r="5" spans="1:14" x14ac:dyDescent="0.35">
      <c r="A5" s="27">
        <v>45292</v>
      </c>
      <c r="B5" s="4">
        <v>2024</v>
      </c>
      <c r="C5" s="6" t="s">
        <v>23</v>
      </c>
      <c r="D5" s="6" t="s">
        <v>10</v>
      </c>
      <c r="E5" s="6" t="s">
        <v>66</v>
      </c>
      <c r="F5" s="13" cm="1">
        <f t="array" ref="F5">_xlfn.SWITCH(B5,
2024,INDEX('2024_budget'!$B$59:$M$69,MATCH(E5,'2024_budget'!$A$59:$A$69,0),MATCH(C5,'2024_budget'!$B$58:$M$58,0)),
2025,INDEX('2025_budget'!$B$59:$M$69,MATCH(E5,'2025_budget'!$A$59:$A$69,0),MATCH(C5,'2025_budget'!$B$58:$M$58,0)),
2026,INDEX('2026_budget'!$B$59:$M$69,MATCH(E5,'2026_budget'!$A$59:$A$69,0),MATCH(C5,'2026_budget'!$B$58:$M$58,0))
)</f>
        <v>1074500</v>
      </c>
      <c r="G5" s="13" cm="1">
        <f t="array" ref="G5">_xlfn.SWITCH(B5,
2024,INDEX('2024_actual'!$B$59:$M$69,MATCH(E5,'2024_actual'!$A$59:$A$69,0),MATCH(C5,'2024_actual'!$B$58:$M$58,0)),
2025,INDEX('2025_actual'!$B$59:$M$69,MATCH(E5,'2025_actual'!$A$59:$A$69,0),MATCH(C5,'2025_actual'!$B$58:$M$58,0)),
2026,INDEX('2026_actual'!$B$59:$M$69,MATCH(E5,'2026_actual'!$A$59:$A$69,0),MATCH(C5,'2026_actual'!$B$58:$M$58,0))
)</f>
        <v>1072000</v>
      </c>
      <c r="H5" s="13">
        <f t="shared" si="0"/>
        <v>-2500</v>
      </c>
      <c r="I5" s="10">
        <f t="shared" si="1"/>
        <v>-2.3266635644485808E-3</v>
      </c>
      <c r="J5" s="6" t="str">
        <f t="shared" si="2"/>
        <v>F</v>
      </c>
    </row>
    <row r="6" spans="1:14" x14ac:dyDescent="0.35">
      <c r="A6" s="27">
        <v>45292</v>
      </c>
      <c r="B6" s="4">
        <v>2024</v>
      </c>
      <c r="C6" s="6" t="s">
        <v>23</v>
      </c>
      <c r="D6" s="6" t="s">
        <v>14</v>
      </c>
      <c r="E6" s="6" t="s">
        <v>67</v>
      </c>
      <c r="F6" s="13" cm="1">
        <f t="array" ref="F6">_xlfn.SWITCH(B6,
2024,INDEX('2024_budget'!$B$59:$M$69,MATCH(E6,'2024_budget'!$A$59:$A$69,0),MATCH(C6,'2024_budget'!$B$58:$M$58,0)),
2025,INDEX('2025_budget'!$B$59:$M$69,MATCH(E6,'2025_budget'!$A$59:$A$69,0),MATCH(C6,'2025_budget'!$B$58:$M$58,0)),
2026,INDEX('2026_budget'!$B$59:$M$69,MATCH(E6,'2026_budget'!$A$59:$A$69,0),MATCH(C6,'2026_budget'!$B$58:$M$58,0))
)</f>
        <v>212083.33333333334</v>
      </c>
      <c r="G6" s="13" cm="1">
        <f t="array" ref="G6">_xlfn.SWITCH(B6,
2024,INDEX('2024_actual'!$B$59:$M$69,MATCH(E6,'2024_actual'!$A$59:$A$69,0),MATCH(C6,'2024_actual'!$B$58:$M$58,0)),
2025,INDEX('2025_actual'!$B$59:$M$69,MATCH(E6,'2025_actual'!$A$59:$A$69,0),MATCH(C6,'2025_actual'!$B$58:$M$58,0)),
2026,INDEX('2026_actual'!$B$59:$M$69,MATCH(E6,'2026_actual'!$A$59:$A$69,0),MATCH(C6,'2026_actual'!$B$58:$M$58,0))
)</f>
        <v>208950</v>
      </c>
      <c r="H6" s="13">
        <f t="shared" si="0"/>
        <v>-3133.333333333343</v>
      </c>
      <c r="I6" s="10">
        <f t="shared" si="1"/>
        <v>-1.477406679764248E-2</v>
      </c>
      <c r="J6" s="6" t="str">
        <f t="shared" si="2"/>
        <v>F</v>
      </c>
    </row>
    <row r="7" spans="1:14" x14ac:dyDescent="0.35">
      <c r="A7" s="27">
        <v>45292</v>
      </c>
      <c r="B7" s="4">
        <v>2024</v>
      </c>
      <c r="C7" s="6" t="s">
        <v>23</v>
      </c>
      <c r="D7" s="6" t="s">
        <v>12</v>
      </c>
      <c r="E7" s="6" t="s">
        <v>68</v>
      </c>
      <c r="F7" s="13" cm="1">
        <f t="array" ref="F7">_xlfn.SWITCH(B7,
2024,INDEX('2024_budget'!$B$59:$M$69,MATCH(E7,'2024_budget'!$A$59:$A$69,0),MATCH(C7,'2024_budget'!$B$58:$M$58,0)),
2025,INDEX('2025_budget'!$B$59:$M$69,MATCH(E7,'2025_budget'!$A$59:$A$69,0),MATCH(C7,'2025_budget'!$B$58:$M$58,0)),
2026,INDEX('2026_budget'!$B$59:$M$69,MATCH(E7,'2026_budget'!$A$59:$A$69,0),MATCH(C7,'2026_budget'!$B$58:$M$58,0))
)</f>
        <v>267500</v>
      </c>
      <c r="G7" s="13" cm="1">
        <f t="array" ref="G7">_xlfn.SWITCH(B7,
2024,INDEX('2024_actual'!$B$59:$M$69,MATCH(E7,'2024_actual'!$A$59:$A$69,0),MATCH(C7,'2024_actual'!$B$58:$M$58,0)),
2025,INDEX('2025_actual'!$B$59:$M$69,MATCH(E7,'2025_actual'!$A$59:$A$69,0),MATCH(C7,'2025_actual'!$B$58:$M$58,0)),
2026,INDEX('2026_actual'!$B$59:$M$69,MATCH(E7,'2026_actual'!$A$59:$A$69,0),MATCH(C7,'2026_actual'!$B$58:$M$58,0))
)</f>
        <v>261100</v>
      </c>
      <c r="H7" s="13">
        <f t="shared" si="0"/>
        <v>-6400</v>
      </c>
      <c r="I7" s="10">
        <f t="shared" si="1"/>
        <v>-2.3925233644859812E-2</v>
      </c>
      <c r="J7" s="6" t="str">
        <f t="shared" si="2"/>
        <v>F</v>
      </c>
    </row>
    <row r="8" spans="1:14" x14ac:dyDescent="0.35">
      <c r="A8" s="27">
        <v>45292</v>
      </c>
      <c r="B8" s="4">
        <v>2024</v>
      </c>
      <c r="C8" s="6" t="s">
        <v>23</v>
      </c>
      <c r="D8" s="6" t="s">
        <v>15</v>
      </c>
      <c r="E8" s="6" t="s">
        <v>69</v>
      </c>
      <c r="F8" s="13" cm="1">
        <f t="array" ref="F8">_xlfn.SWITCH(B8,
2024,INDEX('2024_budget'!$B$59:$M$69,MATCH(E8,'2024_budget'!$A$59:$A$69,0),MATCH(C8,'2024_budget'!$B$58:$M$58,0)),
2025,INDEX('2025_budget'!$B$59:$M$69,MATCH(E8,'2025_budget'!$A$59:$A$69,0),MATCH(C8,'2025_budget'!$B$58:$M$58,0)),
2026,INDEX('2026_budget'!$B$59:$M$69,MATCH(E8,'2026_budget'!$A$59:$A$69,0),MATCH(C8,'2026_budget'!$B$58:$M$58,0))
)</f>
        <v>314583.33333333331</v>
      </c>
      <c r="G8" s="13" cm="1">
        <f t="array" ref="G8">_xlfn.SWITCH(B8,
2024,INDEX('2024_actual'!$B$59:$M$69,MATCH(E8,'2024_actual'!$A$59:$A$69,0),MATCH(C8,'2024_actual'!$B$58:$M$58,0)),
2025,INDEX('2025_actual'!$B$59:$M$69,MATCH(E8,'2025_actual'!$A$59:$A$69,0),MATCH(C8,'2025_actual'!$B$58:$M$58,0)),
2026,INDEX('2026_actual'!$B$59:$M$69,MATCH(E8,'2026_actual'!$A$59:$A$69,0),MATCH(C8,'2026_actual'!$B$58:$M$58,0))
)</f>
        <v>307950</v>
      </c>
      <c r="H8" s="13">
        <f t="shared" si="0"/>
        <v>-6633.3333333333139</v>
      </c>
      <c r="I8" s="10">
        <f t="shared" si="1"/>
        <v>-2.1086092715231729E-2</v>
      </c>
      <c r="J8" s="6" t="str">
        <f t="shared" si="2"/>
        <v>F</v>
      </c>
    </row>
    <row r="9" spans="1:14" x14ac:dyDescent="0.35">
      <c r="A9" s="27">
        <v>45292</v>
      </c>
      <c r="B9" s="4">
        <v>2024</v>
      </c>
      <c r="C9" s="6" t="s">
        <v>23</v>
      </c>
      <c r="D9" s="6" t="s">
        <v>146</v>
      </c>
      <c r="E9" s="6" t="s">
        <v>70</v>
      </c>
      <c r="F9" s="13" cm="1">
        <f t="array" ref="F9">_xlfn.SWITCH(B9,
2024,INDEX('2024_budget'!$B$59:$M$69,MATCH(E9,'2024_budget'!$A$59:$A$69,0),MATCH(C9,'2024_budget'!$B$58:$M$58,0)),
2025,INDEX('2025_budget'!$B$59:$M$69,MATCH(E9,'2025_budget'!$A$59:$A$69,0),MATCH(C9,'2025_budget'!$B$58:$M$58,0)),
2026,INDEX('2026_budget'!$B$59:$M$69,MATCH(E9,'2026_budget'!$A$59:$A$69,0),MATCH(C9,'2026_budget'!$B$58:$M$58,0))
)</f>
        <v>2891000</v>
      </c>
      <c r="G9" s="13" cm="1">
        <f t="array" ref="G9">_xlfn.SWITCH(B9,
2024,INDEX('2024_actual'!$B$59:$M$69,MATCH(E9,'2024_actual'!$A$59:$A$69,0),MATCH(C9,'2024_actual'!$B$58:$M$58,0)),
2025,INDEX('2025_actual'!$B$59:$M$69,MATCH(E9,'2025_actual'!$A$59:$A$69,0),MATCH(C9,'2025_actual'!$B$58:$M$58,0)),
2026,INDEX('2026_actual'!$B$59:$M$69,MATCH(E9,'2026_actual'!$A$59:$A$69,0),MATCH(C9,'2026_actual'!$B$58:$M$58,0))
)</f>
        <v>2852200</v>
      </c>
      <c r="H9" s="13">
        <f t="shared" si="0"/>
        <v>-38800</v>
      </c>
      <c r="I9" s="10">
        <f t="shared" si="1"/>
        <v>-1.3420961604980975E-2</v>
      </c>
      <c r="J9" s="6" t="str">
        <f t="shared" si="2"/>
        <v>F</v>
      </c>
    </row>
    <row r="10" spans="1:14" x14ac:dyDescent="0.35">
      <c r="A10" s="27">
        <v>45292</v>
      </c>
      <c r="B10" s="4">
        <v>2024</v>
      </c>
      <c r="C10" s="6" t="s">
        <v>23</v>
      </c>
      <c r="D10" s="6" t="s">
        <v>146</v>
      </c>
      <c r="E10" s="6" t="s">
        <v>71</v>
      </c>
      <c r="F10" s="13" cm="1">
        <f t="array" ref="F10">_xlfn.SWITCH(B10,
2024,INDEX('2024_budget'!$B$59:$M$69,MATCH(E10,'2024_budget'!$A$59:$A$69,0),MATCH(C10,'2024_budget'!$B$58:$M$58,0)),
2025,INDEX('2025_budget'!$B$59:$M$69,MATCH(E10,'2025_budget'!$A$59:$A$69,0),MATCH(C10,'2025_budget'!$B$58:$M$58,0)),
2026,INDEX('2026_budget'!$B$59:$M$69,MATCH(E10,'2026_budget'!$A$59:$A$69,0),MATCH(C10,'2026_budget'!$B$58:$M$58,0))
)</f>
        <v>-90999.999999999534</v>
      </c>
      <c r="G10" s="13" cm="1">
        <f t="array" ref="G10">_xlfn.SWITCH(B10,
2024,INDEX('2024_actual'!$B$59:$M$69,MATCH(E10,'2024_actual'!$A$59:$A$69,0),MATCH(C10,'2024_actual'!$B$58:$M$58,0)),
2025,INDEX('2025_actual'!$B$59:$M$69,MATCH(E10,'2025_actual'!$A$59:$A$69,0),MATCH(C10,'2025_actual'!$B$58:$M$58,0)),
2026,INDEX('2026_actual'!$B$59:$M$69,MATCH(E10,'2026_actual'!$A$59:$A$69,0),MATCH(C10,'2026_actual'!$B$58:$M$58,0))
)</f>
        <v>-162200</v>
      </c>
      <c r="H10" s="13">
        <f t="shared" si="0"/>
        <v>-71200.000000000466</v>
      </c>
      <c r="I10" s="10" t="e">
        <f t="shared" si="1"/>
        <v>#N/A</v>
      </c>
      <c r="J10" s="6" t="str">
        <f>IF(G10&gt;=F10,"F","U")</f>
        <v>U</v>
      </c>
    </row>
    <row r="11" spans="1:14" x14ac:dyDescent="0.35">
      <c r="A11" s="26">
        <v>45323</v>
      </c>
      <c r="B11">
        <v>2024</v>
      </c>
      <c r="C11" t="s">
        <v>24</v>
      </c>
      <c r="D11" t="s">
        <v>146</v>
      </c>
      <c r="E11" t="s">
        <v>6</v>
      </c>
      <c r="F11" s="13" cm="1">
        <f t="array" ref="F11">_xlfn.SWITCH(B11,
2024,INDEX('2024_budget'!$B$59:$M$69,MATCH(E11,'2024_budget'!$A$59:$A$69,0),MATCH(C11,'2024_budget'!$B$58:$M$58,0)),
2025,INDEX('2025_budget'!$B$59:$M$69,MATCH(E11,'2025_budget'!$A$59:$A$69,0),MATCH(C11,'2025_budget'!$B$58:$M$58,0)),
2026,INDEX('2026_budget'!$B$59:$M$69,MATCH(E11,'2026_budget'!$A$59:$A$69,0),MATCH(C11,'2026_budget'!$B$58:$M$58,0))
)</f>
        <v>2800000.0000000005</v>
      </c>
      <c r="G11" s="13" cm="1">
        <f t="array" ref="G11">_xlfn.SWITCH(B11,
2024,INDEX('2024_actual'!$B$59:$M$69,MATCH(E11,'2024_actual'!$A$59:$A$69,0),MATCH(C11,'2024_actual'!$B$58:$M$58,0)),
2025,INDEX('2025_actual'!$B$59:$M$69,MATCH(E11,'2025_actual'!$A$59:$A$69,0),MATCH(C11,'2025_actual'!$B$58:$M$58,0)),
2026,INDEX('2026_actual'!$B$59:$M$69,MATCH(E11,'2026_actual'!$A$59:$A$69,0),MATCH(C11,'2026_actual'!$B$58:$M$58,0))
)</f>
        <v>2715000</v>
      </c>
      <c r="H11" s="13">
        <f>G11-F11</f>
        <v>-85000.000000000466</v>
      </c>
      <c r="I11" s="10">
        <f t="shared" si="1"/>
        <v>-3.035714285714302E-2</v>
      </c>
      <c r="J11" s="6" t="str">
        <f>IF(G11&gt;=F11,"F","U")</f>
        <v>U</v>
      </c>
      <c r="N11" s="6"/>
    </row>
    <row r="12" spans="1:14" x14ac:dyDescent="0.35">
      <c r="A12" s="26">
        <v>45323</v>
      </c>
      <c r="B12">
        <v>2024</v>
      </c>
      <c r="C12" t="s">
        <v>24</v>
      </c>
      <c r="D12" t="s">
        <v>11</v>
      </c>
      <c r="E12" t="s">
        <v>64</v>
      </c>
      <c r="F12" s="13" cm="1">
        <f t="array" ref="F12">_xlfn.SWITCH(B12,
2024,INDEX('2024_budget'!$B$59:$M$69,MATCH(E12,'2024_budget'!$A$59:$A$69,0),MATCH(C12,'2024_budget'!$B$58:$M$58,0)),
2025,INDEX('2025_budget'!$B$59:$M$69,MATCH(E12,'2025_budget'!$A$59:$A$69,0),MATCH(C12,'2025_budget'!$B$58:$M$58,0)),
2026,INDEX('2026_budget'!$B$59:$M$69,MATCH(E12,'2026_budget'!$A$59:$A$69,0),MATCH(C12,'2026_budget'!$B$58:$M$58,0))
)</f>
        <v>655166.66666666663</v>
      </c>
      <c r="G12" s="13" cm="1">
        <f t="array" ref="G12">_xlfn.SWITCH(B12,
2024,INDEX('2024_actual'!$B$59:$M$69,MATCH(E12,'2024_actual'!$A$59:$A$69,0),MATCH(C12,'2024_actual'!$B$58:$M$58,0)),
2025,INDEX('2025_actual'!$B$59:$M$69,MATCH(E12,'2025_actual'!$A$59:$A$69,0),MATCH(C12,'2025_actual'!$B$58:$M$58,0)),
2026,INDEX('2026_actual'!$B$59:$M$69,MATCH(E12,'2026_actual'!$A$59:$A$69,0),MATCH(C12,'2026_actual'!$B$58:$M$58,0))
)</f>
        <v>629000</v>
      </c>
      <c r="H12" s="13">
        <f t="shared" ref="H12:H19" si="3">G12-F12</f>
        <v>-26166.666666666628</v>
      </c>
      <c r="I12" s="10">
        <f t="shared" si="1"/>
        <v>-3.9938946832866896E-2</v>
      </c>
      <c r="J12" s="6" t="str">
        <f>IF(G12&lt;=F12,"F","U")</f>
        <v>F</v>
      </c>
    </row>
    <row r="13" spans="1:14" x14ac:dyDescent="0.35">
      <c r="A13" s="26">
        <v>45323</v>
      </c>
      <c r="B13">
        <v>2024</v>
      </c>
      <c r="C13" t="s">
        <v>24</v>
      </c>
      <c r="D13" t="s">
        <v>13</v>
      </c>
      <c r="E13" t="s">
        <v>65</v>
      </c>
      <c r="F13" s="13" cm="1">
        <f t="array" ref="F13">_xlfn.SWITCH(B13,
2024,INDEX('2024_budget'!$B$59:$M$69,MATCH(E13,'2024_budget'!$A$59:$A$69,0),MATCH(C13,'2024_budget'!$B$58:$M$58,0)),
2025,INDEX('2025_budget'!$B$59:$M$69,MATCH(E13,'2025_budget'!$A$59:$A$69,0),MATCH(C13,'2025_budget'!$B$58:$M$58,0)),
2026,INDEX('2026_budget'!$B$59:$M$69,MATCH(E13,'2026_budget'!$A$59:$A$69,0),MATCH(C13,'2026_budget'!$B$58:$M$58,0))
)</f>
        <v>367166.66666666669</v>
      </c>
      <c r="G13" s="13" cm="1">
        <f t="array" ref="G13">_xlfn.SWITCH(B13,
2024,INDEX('2024_actual'!$B$59:$M$69,MATCH(E13,'2024_actual'!$A$59:$A$69,0),MATCH(C13,'2024_actual'!$B$58:$M$58,0)),
2025,INDEX('2025_actual'!$B$59:$M$69,MATCH(E13,'2025_actual'!$A$59:$A$69,0),MATCH(C13,'2025_actual'!$B$58:$M$58,0)),
2026,INDEX('2026_actual'!$B$59:$M$69,MATCH(E13,'2026_actual'!$A$59:$A$69,0),MATCH(C13,'2026_actual'!$B$58:$M$58,0))
)</f>
        <v>380200</v>
      </c>
      <c r="H13" s="13">
        <f t="shared" si="3"/>
        <v>13033.333333333314</v>
      </c>
      <c r="I13" s="10">
        <f t="shared" si="1"/>
        <v>3.5497049477984509E-2</v>
      </c>
      <c r="J13" s="6" t="str">
        <f t="shared" ref="J13:J18" si="4">IF(G13&lt;=F13,"F","U")</f>
        <v>U</v>
      </c>
    </row>
    <row r="14" spans="1:14" x14ac:dyDescent="0.35">
      <c r="A14" s="26">
        <v>45323</v>
      </c>
      <c r="B14">
        <v>2024</v>
      </c>
      <c r="C14" t="s">
        <v>24</v>
      </c>
      <c r="D14" t="s">
        <v>10</v>
      </c>
      <c r="E14" t="s">
        <v>66</v>
      </c>
      <c r="F14" s="13" cm="1">
        <f t="array" ref="F14">_xlfn.SWITCH(B14,
2024,INDEX('2024_budget'!$B$59:$M$69,MATCH(E14,'2024_budget'!$A$59:$A$69,0),MATCH(C14,'2024_budget'!$B$58:$M$58,0)),
2025,INDEX('2025_budget'!$B$59:$M$69,MATCH(E14,'2025_budget'!$A$59:$A$69,0),MATCH(C14,'2025_budget'!$B$58:$M$58,0)),
2026,INDEX('2026_budget'!$B$59:$M$69,MATCH(E14,'2026_budget'!$A$59:$A$69,0),MATCH(C14,'2026_budget'!$B$58:$M$58,0))
)</f>
        <v>1074500</v>
      </c>
      <c r="G14" s="13" cm="1">
        <f t="array" ref="G14">_xlfn.SWITCH(B14,
2024,INDEX('2024_actual'!$B$59:$M$69,MATCH(E14,'2024_actual'!$A$59:$A$69,0),MATCH(C14,'2024_actual'!$B$58:$M$58,0)),
2025,INDEX('2025_actual'!$B$59:$M$69,MATCH(E14,'2025_actual'!$A$59:$A$69,0),MATCH(C14,'2025_actual'!$B$58:$M$58,0)),
2026,INDEX('2026_actual'!$B$59:$M$69,MATCH(E14,'2026_actual'!$A$59:$A$69,0),MATCH(C14,'2026_actual'!$B$58:$M$58,0))
)</f>
        <v>1077000</v>
      </c>
      <c r="H14" s="13">
        <f t="shared" si="3"/>
        <v>2500</v>
      </c>
      <c r="I14" s="10">
        <f t="shared" si="1"/>
        <v>2.3266635644485808E-3</v>
      </c>
      <c r="J14" s="6" t="str">
        <f t="shared" si="4"/>
        <v>U</v>
      </c>
    </row>
    <row r="15" spans="1:14" x14ac:dyDescent="0.35">
      <c r="A15" s="26">
        <v>45323</v>
      </c>
      <c r="B15">
        <v>2024</v>
      </c>
      <c r="C15" t="s">
        <v>24</v>
      </c>
      <c r="D15" t="s">
        <v>14</v>
      </c>
      <c r="E15" t="s">
        <v>67</v>
      </c>
      <c r="F15" s="13" cm="1">
        <f t="array" ref="F15">_xlfn.SWITCH(B15,
2024,INDEX('2024_budget'!$B$59:$M$69,MATCH(E15,'2024_budget'!$A$59:$A$69,0),MATCH(C15,'2024_budget'!$B$58:$M$58,0)),
2025,INDEX('2025_budget'!$B$59:$M$69,MATCH(E15,'2025_budget'!$A$59:$A$69,0),MATCH(C15,'2025_budget'!$B$58:$M$58,0)),
2026,INDEX('2026_budget'!$B$59:$M$69,MATCH(E15,'2026_budget'!$A$59:$A$69,0),MATCH(C15,'2026_budget'!$B$58:$M$58,0))
)</f>
        <v>212083.33333333334</v>
      </c>
      <c r="G15" s="13" cm="1">
        <f t="array" ref="G15">_xlfn.SWITCH(B15,
2024,INDEX('2024_actual'!$B$59:$M$69,MATCH(E15,'2024_actual'!$A$59:$A$69,0),MATCH(C15,'2024_actual'!$B$58:$M$58,0)),
2025,INDEX('2025_actual'!$B$59:$M$69,MATCH(E15,'2025_actual'!$A$59:$A$69,0),MATCH(C15,'2025_actual'!$B$58:$M$58,0)),
2026,INDEX('2026_actual'!$B$59:$M$69,MATCH(E15,'2026_actual'!$A$59:$A$69,0),MATCH(C15,'2026_actual'!$B$58:$M$58,0))
)</f>
        <v>208950</v>
      </c>
      <c r="H15" s="13">
        <f t="shared" si="3"/>
        <v>-3133.333333333343</v>
      </c>
      <c r="I15" s="10">
        <f t="shared" si="1"/>
        <v>-1.477406679764248E-2</v>
      </c>
      <c r="J15" s="6" t="str">
        <f t="shared" si="4"/>
        <v>F</v>
      </c>
    </row>
    <row r="16" spans="1:14" x14ac:dyDescent="0.35">
      <c r="A16" s="26">
        <v>45323</v>
      </c>
      <c r="B16">
        <v>2024</v>
      </c>
      <c r="C16" t="s">
        <v>24</v>
      </c>
      <c r="D16" t="s">
        <v>12</v>
      </c>
      <c r="E16" t="s">
        <v>68</v>
      </c>
      <c r="F16" s="13" cm="1">
        <f t="array" ref="F16">_xlfn.SWITCH(B16,
2024,INDEX('2024_budget'!$B$59:$M$69,MATCH(E16,'2024_budget'!$A$59:$A$69,0),MATCH(C16,'2024_budget'!$B$58:$M$58,0)),
2025,INDEX('2025_budget'!$B$59:$M$69,MATCH(E16,'2025_budget'!$A$59:$A$69,0),MATCH(C16,'2025_budget'!$B$58:$M$58,0)),
2026,INDEX('2026_budget'!$B$59:$M$69,MATCH(E16,'2026_budget'!$A$59:$A$69,0),MATCH(C16,'2026_budget'!$B$58:$M$58,0))
)</f>
        <v>267500</v>
      </c>
      <c r="G16" s="13" cm="1">
        <f t="array" ref="G16">_xlfn.SWITCH(B16,
2024,INDEX('2024_actual'!$B$59:$M$69,MATCH(E16,'2024_actual'!$A$59:$A$69,0),MATCH(C16,'2024_actual'!$B$58:$M$58,0)),
2025,INDEX('2025_actual'!$B$59:$M$69,MATCH(E16,'2025_actual'!$A$59:$A$69,0),MATCH(C16,'2025_actual'!$B$58:$M$58,0)),
2026,INDEX('2026_actual'!$B$59:$M$69,MATCH(E16,'2026_actual'!$A$59:$A$69,0),MATCH(C16,'2026_actual'!$B$58:$M$58,0))
)</f>
        <v>261100</v>
      </c>
      <c r="H16" s="13">
        <f t="shared" si="3"/>
        <v>-6400</v>
      </c>
      <c r="I16" s="10">
        <f t="shared" si="1"/>
        <v>-2.3925233644859812E-2</v>
      </c>
      <c r="J16" s="6" t="str">
        <f t="shared" si="4"/>
        <v>F</v>
      </c>
    </row>
    <row r="17" spans="1:10" x14ac:dyDescent="0.35">
      <c r="A17" s="26">
        <v>45323</v>
      </c>
      <c r="B17">
        <v>2024</v>
      </c>
      <c r="C17" t="s">
        <v>24</v>
      </c>
      <c r="D17" t="s">
        <v>15</v>
      </c>
      <c r="E17" t="s">
        <v>69</v>
      </c>
      <c r="F17" s="13" cm="1">
        <f t="array" ref="F17">_xlfn.SWITCH(B17,
2024,INDEX('2024_budget'!$B$59:$M$69,MATCH(E17,'2024_budget'!$A$59:$A$69,0),MATCH(C17,'2024_budget'!$B$58:$M$58,0)),
2025,INDEX('2025_budget'!$B$59:$M$69,MATCH(E17,'2025_budget'!$A$59:$A$69,0),MATCH(C17,'2025_budget'!$B$58:$M$58,0)),
2026,INDEX('2026_budget'!$B$59:$M$69,MATCH(E17,'2026_budget'!$A$59:$A$69,0),MATCH(C17,'2026_budget'!$B$58:$M$58,0))
)</f>
        <v>314583.33333333331</v>
      </c>
      <c r="G17" s="13" cm="1">
        <f t="array" ref="G17">_xlfn.SWITCH(B17,
2024,INDEX('2024_actual'!$B$59:$M$69,MATCH(E17,'2024_actual'!$A$59:$A$69,0),MATCH(C17,'2024_actual'!$B$58:$M$58,0)),
2025,INDEX('2025_actual'!$B$59:$M$69,MATCH(E17,'2025_actual'!$A$59:$A$69,0),MATCH(C17,'2025_actual'!$B$58:$M$58,0)),
2026,INDEX('2026_actual'!$B$59:$M$69,MATCH(E17,'2026_actual'!$A$59:$A$69,0),MATCH(C17,'2026_actual'!$B$58:$M$58,0))
)</f>
        <v>307950</v>
      </c>
      <c r="H17" s="13">
        <f t="shared" si="3"/>
        <v>-6633.3333333333139</v>
      </c>
      <c r="I17" s="10">
        <f t="shared" si="1"/>
        <v>-2.1086092715231729E-2</v>
      </c>
      <c r="J17" s="6" t="str">
        <f t="shared" si="4"/>
        <v>F</v>
      </c>
    </row>
    <row r="18" spans="1:10" x14ac:dyDescent="0.35">
      <c r="A18" s="26">
        <v>45323</v>
      </c>
      <c r="B18">
        <v>2024</v>
      </c>
      <c r="C18" t="s">
        <v>24</v>
      </c>
      <c r="D18" t="s">
        <v>146</v>
      </c>
      <c r="E18" t="s">
        <v>70</v>
      </c>
      <c r="F18" s="13" cm="1">
        <f t="array" ref="F18">_xlfn.SWITCH(B18,
2024,INDEX('2024_budget'!$B$59:$M$69,MATCH(E18,'2024_budget'!$A$59:$A$69,0),MATCH(C18,'2024_budget'!$B$58:$M$58,0)),
2025,INDEX('2025_budget'!$B$59:$M$69,MATCH(E18,'2025_budget'!$A$59:$A$69,0),MATCH(C18,'2025_budget'!$B$58:$M$58,0)),
2026,INDEX('2026_budget'!$B$59:$M$69,MATCH(E18,'2026_budget'!$A$59:$A$69,0),MATCH(C18,'2026_budget'!$B$58:$M$58,0))
)</f>
        <v>2891000</v>
      </c>
      <c r="G18" s="13" cm="1">
        <f t="array" ref="G18">_xlfn.SWITCH(B18,
2024,INDEX('2024_actual'!$B$59:$M$69,MATCH(E18,'2024_actual'!$A$59:$A$69,0),MATCH(C18,'2024_actual'!$B$58:$M$58,0)),
2025,INDEX('2025_actual'!$B$59:$M$69,MATCH(E18,'2025_actual'!$A$59:$A$69,0),MATCH(C18,'2025_actual'!$B$58:$M$58,0)),
2026,INDEX('2026_actual'!$B$59:$M$69,MATCH(E18,'2026_actual'!$A$59:$A$69,0),MATCH(C18,'2026_actual'!$B$58:$M$58,0))
)</f>
        <v>2864200</v>
      </c>
      <c r="H18" s="13">
        <f t="shared" si="3"/>
        <v>-26800</v>
      </c>
      <c r="I18" s="10">
        <f t="shared" si="1"/>
        <v>-9.2701487374610859E-3</v>
      </c>
      <c r="J18" s="6" t="str">
        <f t="shared" si="4"/>
        <v>F</v>
      </c>
    </row>
    <row r="19" spans="1:10" x14ac:dyDescent="0.35">
      <c r="A19" s="26">
        <v>45323</v>
      </c>
      <c r="B19">
        <v>2024</v>
      </c>
      <c r="C19" t="s">
        <v>24</v>
      </c>
      <c r="D19" t="s">
        <v>146</v>
      </c>
      <c r="E19" t="s">
        <v>71</v>
      </c>
      <c r="F19" s="13" cm="1">
        <f t="array" ref="F19">_xlfn.SWITCH(B19,
2024,INDEX('2024_budget'!$B$59:$M$69,MATCH(E19,'2024_budget'!$A$59:$A$69,0),MATCH(C19,'2024_budget'!$B$58:$M$58,0)),
2025,INDEX('2025_budget'!$B$59:$M$69,MATCH(E19,'2025_budget'!$A$59:$A$69,0),MATCH(C19,'2025_budget'!$B$58:$M$58,0)),
2026,INDEX('2026_budget'!$B$59:$M$69,MATCH(E19,'2026_budget'!$A$59:$A$69,0),MATCH(C19,'2026_budget'!$B$58:$M$58,0))
)</f>
        <v>-90999.999999999534</v>
      </c>
      <c r="G19" s="13" cm="1">
        <f t="array" ref="G19">_xlfn.SWITCH(B19,
2024,INDEX('2024_actual'!$B$59:$M$69,MATCH(E19,'2024_actual'!$A$59:$A$69,0),MATCH(C19,'2024_actual'!$B$58:$M$58,0)),
2025,INDEX('2025_actual'!$B$59:$M$69,MATCH(E19,'2025_actual'!$A$59:$A$69,0),MATCH(C19,'2025_actual'!$B$58:$M$58,0)),
2026,INDEX('2026_actual'!$B$59:$M$69,MATCH(E19,'2026_actual'!$A$59:$A$69,0),MATCH(C19,'2026_actual'!$B$58:$M$58,0))
)</f>
        <v>-149200</v>
      </c>
      <c r="H19" s="13">
        <f t="shared" si="3"/>
        <v>-58200.000000000466</v>
      </c>
      <c r="I19" s="10" t="e">
        <f t="shared" si="1"/>
        <v>#N/A</v>
      </c>
      <c r="J19" s="6" t="str">
        <f>IF(G19&gt;=F19,"F","U")</f>
        <v>U</v>
      </c>
    </row>
    <row r="20" spans="1:10" x14ac:dyDescent="0.35">
      <c r="A20" s="26">
        <v>45352</v>
      </c>
      <c r="B20">
        <v>2024</v>
      </c>
      <c r="C20" t="s">
        <v>25</v>
      </c>
      <c r="D20" t="s">
        <v>146</v>
      </c>
      <c r="E20" t="s">
        <v>6</v>
      </c>
      <c r="F20" s="13" cm="1">
        <f t="array" ref="F20">_xlfn.SWITCH(B20,
2024,INDEX('2024_budget'!$B$59:$M$69,MATCH(E20,'2024_budget'!$A$59:$A$69,0),MATCH(C20,'2024_budget'!$B$58:$M$58,0)),
2025,INDEX('2025_budget'!$B$59:$M$69,MATCH(E20,'2025_budget'!$A$59:$A$69,0),MATCH(C20,'2025_budget'!$B$58:$M$58,0)),
2026,INDEX('2026_budget'!$B$59:$M$69,MATCH(E20,'2026_budget'!$A$59:$A$69,0),MATCH(C20,'2026_budget'!$B$58:$M$58,0))
)</f>
        <v>3200000</v>
      </c>
      <c r="G20" s="13" cm="1">
        <f t="array" ref="G20">_xlfn.SWITCH(B20,
2024,INDEX('2024_actual'!$B$59:$M$69,MATCH(E20,'2024_actual'!$A$59:$A$69,0),MATCH(C20,'2024_actual'!$B$58:$M$58,0)),
2025,INDEX('2025_actual'!$B$59:$M$69,MATCH(E20,'2025_actual'!$A$59:$A$69,0),MATCH(C20,'2025_actual'!$B$58:$M$58,0)),
2026,INDEX('2026_actual'!$B$59:$M$69,MATCH(E20,'2026_actual'!$A$59:$A$69,0),MATCH(C20,'2026_actual'!$B$58:$M$58,0))
)</f>
        <v>3025000</v>
      </c>
      <c r="H20" s="13">
        <f>G20-F20</f>
        <v>-175000</v>
      </c>
      <c r="I20" s="10">
        <f t="shared" si="1"/>
        <v>-5.46875E-2</v>
      </c>
      <c r="J20" s="6" t="str">
        <f>IF(G20&gt;=F20,"F","U")</f>
        <v>U</v>
      </c>
    </row>
    <row r="21" spans="1:10" x14ac:dyDescent="0.35">
      <c r="A21" s="26">
        <v>45352</v>
      </c>
      <c r="B21">
        <v>2024</v>
      </c>
      <c r="C21" t="s">
        <v>25</v>
      </c>
      <c r="D21" t="s">
        <v>11</v>
      </c>
      <c r="E21" t="s">
        <v>64</v>
      </c>
      <c r="F21" s="13" cm="1">
        <f t="array" ref="F21">_xlfn.SWITCH(B21,
2024,INDEX('2024_budget'!$B$59:$M$69,MATCH(E21,'2024_budget'!$A$59:$A$69,0),MATCH(C21,'2024_budget'!$B$58:$M$58,0)),
2025,INDEX('2025_budget'!$B$59:$M$69,MATCH(E21,'2025_budget'!$A$59:$A$69,0),MATCH(C21,'2025_budget'!$B$58:$M$58,0)),
2026,INDEX('2026_budget'!$B$59:$M$69,MATCH(E21,'2026_budget'!$A$59:$A$69,0),MATCH(C21,'2026_budget'!$B$58:$M$58,0))
)</f>
        <v>673166.66666666663</v>
      </c>
      <c r="G21" s="13" cm="1">
        <f t="array" ref="G21">_xlfn.SWITCH(B21,
2024,INDEX('2024_actual'!$B$59:$M$69,MATCH(E21,'2024_actual'!$A$59:$A$69,0),MATCH(C21,'2024_actual'!$B$58:$M$58,0)),
2025,INDEX('2025_actual'!$B$59:$M$69,MATCH(E21,'2025_actual'!$A$59:$A$69,0),MATCH(C21,'2025_actual'!$B$58:$M$58,0)),
2026,INDEX('2026_actual'!$B$59:$M$69,MATCH(E21,'2026_actual'!$A$59:$A$69,0),MATCH(C21,'2026_actual'!$B$58:$M$58,0))
)</f>
        <v>649000</v>
      </c>
      <c r="H21" s="13">
        <f t="shared" ref="H21:H28" si="5">G21-F21</f>
        <v>-24166.666666666628</v>
      </c>
      <c r="I21" s="10">
        <f t="shared" si="1"/>
        <v>-3.5899975241396327E-2</v>
      </c>
      <c r="J21" s="6" t="str">
        <f>IF(G21&lt;=F21,"F","U")</f>
        <v>F</v>
      </c>
    </row>
    <row r="22" spans="1:10" x14ac:dyDescent="0.35">
      <c r="A22" s="26">
        <v>45352</v>
      </c>
      <c r="B22">
        <v>2024</v>
      </c>
      <c r="C22" t="s">
        <v>25</v>
      </c>
      <c r="D22" t="s">
        <v>13</v>
      </c>
      <c r="E22" t="s">
        <v>65</v>
      </c>
      <c r="F22" s="13" cm="1">
        <f t="array" ref="F22">_xlfn.SWITCH(B22,
2024,INDEX('2024_budget'!$B$59:$M$69,MATCH(E22,'2024_budget'!$A$59:$A$69,0),MATCH(C22,'2024_budget'!$B$58:$M$58,0)),
2025,INDEX('2025_budget'!$B$59:$M$69,MATCH(E22,'2025_budget'!$A$59:$A$69,0),MATCH(C22,'2025_budget'!$B$58:$M$58,0)),
2026,INDEX('2026_budget'!$B$59:$M$69,MATCH(E22,'2026_budget'!$A$59:$A$69,0),MATCH(C22,'2026_budget'!$B$58:$M$58,0))
)</f>
        <v>391166.66666666669</v>
      </c>
      <c r="G22" s="13" cm="1">
        <f t="array" ref="G22">_xlfn.SWITCH(B22,
2024,INDEX('2024_actual'!$B$59:$M$69,MATCH(E22,'2024_actual'!$A$59:$A$69,0),MATCH(C22,'2024_actual'!$B$58:$M$58,0)),
2025,INDEX('2025_actual'!$B$59:$M$69,MATCH(E22,'2025_actual'!$A$59:$A$69,0),MATCH(C22,'2025_actual'!$B$58:$M$58,0)),
2026,INDEX('2026_actual'!$B$59:$M$69,MATCH(E22,'2026_actual'!$A$59:$A$69,0),MATCH(C22,'2026_actual'!$B$58:$M$58,0))
)</f>
        <v>391900</v>
      </c>
      <c r="H22" s="13">
        <f t="shared" si="5"/>
        <v>733.33333333331393</v>
      </c>
      <c r="I22" s="10">
        <f t="shared" si="1"/>
        <v>1.874733702599013E-3</v>
      </c>
      <c r="J22" s="6" t="str">
        <f t="shared" ref="J22:J27" si="6">IF(G22&lt;=F22,"F","U")</f>
        <v>U</v>
      </c>
    </row>
    <row r="23" spans="1:10" x14ac:dyDescent="0.35">
      <c r="A23" s="26">
        <v>45352</v>
      </c>
      <c r="B23">
        <v>2024</v>
      </c>
      <c r="C23" t="s">
        <v>25</v>
      </c>
      <c r="D23" t="s">
        <v>10</v>
      </c>
      <c r="E23" t="s">
        <v>66</v>
      </c>
      <c r="F23" s="13" cm="1">
        <f t="array" ref="F23">_xlfn.SWITCH(B23,
2024,INDEX('2024_budget'!$B$59:$M$69,MATCH(E23,'2024_budget'!$A$59:$A$69,0),MATCH(C23,'2024_budget'!$B$58:$M$58,0)),
2025,INDEX('2025_budget'!$B$59:$M$69,MATCH(E23,'2025_budget'!$A$59:$A$69,0),MATCH(C23,'2025_budget'!$B$58:$M$58,0)),
2026,INDEX('2026_budget'!$B$59:$M$69,MATCH(E23,'2026_budget'!$A$59:$A$69,0),MATCH(C23,'2026_budget'!$B$58:$M$58,0))
)</f>
        <v>1090500</v>
      </c>
      <c r="G23" s="13" cm="1">
        <f t="array" ref="G23">_xlfn.SWITCH(B23,
2024,INDEX('2024_actual'!$B$59:$M$69,MATCH(E23,'2024_actual'!$A$59:$A$69,0),MATCH(C23,'2024_actual'!$B$58:$M$58,0)),
2025,INDEX('2025_actual'!$B$59:$M$69,MATCH(E23,'2025_actual'!$A$59:$A$69,0),MATCH(C23,'2025_actual'!$B$58:$M$58,0)),
2026,INDEX('2026_actual'!$B$59:$M$69,MATCH(E23,'2026_actual'!$A$59:$A$69,0),MATCH(C23,'2026_actual'!$B$58:$M$58,0))
)</f>
        <v>1088000</v>
      </c>
      <c r="H23" s="13">
        <f t="shared" si="5"/>
        <v>-2500</v>
      </c>
      <c r="I23" s="10">
        <f t="shared" si="1"/>
        <v>-2.2925263640531865E-3</v>
      </c>
      <c r="J23" s="6" t="str">
        <f t="shared" si="6"/>
        <v>F</v>
      </c>
    </row>
    <row r="24" spans="1:10" x14ac:dyDescent="0.35">
      <c r="A24" s="26">
        <v>45352</v>
      </c>
      <c r="B24">
        <v>2024</v>
      </c>
      <c r="C24" t="s">
        <v>25</v>
      </c>
      <c r="D24" t="s">
        <v>14</v>
      </c>
      <c r="E24" t="s">
        <v>67</v>
      </c>
      <c r="F24" s="13" cm="1">
        <f t="array" ref="F24">_xlfn.SWITCH(B24,
2024,INDEX('2024_budget'!$B$59:$M$69,MATCH(E24,'2024_budget'!$A$59:$A$69,0),MATCH(C24,'2024_budget'!$B$58:$M$58,0)),
2025,INDEX('2025_budget'!$B$59:$M$69,MATCH(E24,'2025_budget'!$A$59:$A$69,0),MATCH(C24,'2025_budget'!$B$58:$M$58,0)),
2026,INDEX('2026_budget'!$B$59:$M$69,MATCH(E24,'2026_budget'!$A$59:$A$69,0),MATCH(C24,'2026_budget'!$B$58:$M$58,0))
)</f>
        <v>212083.33333333334</v>
      </c>
      <c r="G24" s="13" cm="1">
        <f t="array" ref="G24">_xlfn.SWITCH(B24,
2024,INDEX('2024_actual'!$B$59:$M$69,MATCH(E24,'2024_actual'!$A$59:$A$69,0),MATCH(C24,'2024_actual'!$B$58:$M$58,0)),
2025,INDEX('2025_actual'!$B$59:$M$69,MATCH(E24,'2025_actual'!$A$59:$A$69,0),MATCH(C24,'2025_actual'!$B$58:$M$58,0)),
2026,INDEX('2026_actual'!$B$59:$M$69,MATCH(E24,'2026_actual'!$A$59:$A$69,0),MATCH(C24,'2026_actual'!$B$58:$M$58,0))
)</f>
        <v>210950</v>
      </c>
      <c r="H24" s="13">
        <f t="shared" si="5"/>
        <v>-1133.333333333343</v>
      </c>
      <c r="I24" s="10">
        <f t="shared" si="1"/>
        <v>-5.3438113948919902E-3</v>
      </c>
      <c r="J24" s="6" t="str">
        <f t="shared" si="6"/>
        <v>F</v>
      </c>
    </row>
    <row r="25" spans="1:10" x14ac:dyDescent="0.35">
      <c r="A25" s="26">
        <v>45352</v>
      </c>
      <c r="B25">
        <v>2024</v>
      </c>
      <c r="C25" t="s">
        <v>25</v>
      </c>
      <c r="D25" t="s">
        <v>12</v>
      </c>
      <c r="E25" t="s">
        <v>68</v>
      </c>
      <c r="F25" s="13" cm="1">
        <f t="array" ref="F25">_xlfn.SWITCH(B25,
2024,INDEX('2024_budget'!$B$59:$M$69,MATCH(E25,'2024_budget'!$A$59:$A$69,0),MATCH(C25,'2024_budget'!$B$58:$M$58,0)),
2025,INDEX('2025_budget'!$B$59:$M$69,MATCH(E25,'2025_budget'!$A$59:$A$69,0),MATCH(C25,'2025_budget'!$B$58:$M$58,0)),
2026,INDEX('2026_budget'!$B$59:$M$69,MATCH(E25,'2026_budget'!$A$59:$A$69,0),MATCH(C25,'2026_budget'!$B$58:$M$58,0))
)</f>
        <v>267500</v>
      </c>
      <c r="G25" s="13" cm="1">
        <f t="array" ref="G25">_xlfn.SWITCH(B25,
2024,INDEX('2024_actual'!$B$59:$M$69,MATCH(E25,'2024_actual'!$A$59:$A$69,0),MATCH(C25,'2024_actual'!$B$58:$M$58,0)),
2025,INDEX('2025_actual'!$B$59:$M$69,MATCH(E25,'2025_actual'!$A$59:$A$69,0),MATCH(C25,'2025_actual'!$B$58:$M$58,0)),
2026,INDEX('2026_actual'!$B$59:$M$69,MATCH(E25,'2026_actual'!$A$59:$A$69,0),MATCH(C25,'2026_actual'!$B$58:$M$58,0))
)</f>
        <v>263500</v>
      </c>
      <c r="H25" s="13">
        <f t="shared" si="5"/>
        <v>-4000</v>
      </c>
      <c r="I25" s="10">
        <f t="shared" si="1"/>
        <v>-1.4953271028037384E-2</v>
      </c>
      <c r="J25" s="6" t="str">
        <f t="shared" si="6"/>
        <v>F</v>
      </c>
    </row>
    <row r="26" spans="1:10" x14ac:dyDescent="0.35">
      <c r="A26" s="26">
        <v>45352</v>
      </c>
      <c r="B26">
        <v>2024</v>
      </c>
      <c r="C26" t="s">
        <v>25</v>
      </c>
      <c r="D26" t="s">
        <v>15</v>
      </c>
      <c r="E26" t="s">
        <v>69</v>
      </c>
      <c r="F26" s="13" cm="1">
        <f t="array" ref="F26">_xlfn.SWITCH(B26,
2024,INDEX('2024_budget'!$B$59:$M$69,MATCH(E26,'2024_budget'!$A$59:$A$69,0),MATCH(C26,'2024_budget'!$B$58:$M$58,0)),
2025,INDEX('2025_budget'!$B$59:$M$69,MATCH(E26,'2025_budget'!$A$59:$A$69,0),MATCH(C26,'2025_budget'!$B$58:$M$58,0)),
2026,INDEX('2026_budget'!$B$59:$M$69,MATCH(E26,'2026_budget'!$A$59:$A$69,0),MATCH(C26,'2026_budget'!$B$58:$M$58,0))
)</f>
        <v>314583.33333333331</v>
      </c>
      <c r="G26" s="13" cm="1">
        <f t="array" ref="G26">_xlfn.SWITCH(B26,
2024,INDEX('2024_actual'!$B$59:$M$69,MATCH(E26,'2024_actual'!$A$59:$A$69,0),MATCH(C26,'2024_actual'!$B$58:$M$58,0)),
2025,INDEX('2025_actual'!$B$59:$M$69,MATCH(E26,'2025_actual'!$A$59:$A$69,0),MATCH(C26,'2025_actual'!$B$58:$M$58,0)),
2026,INDEX('2026_actual'!$B$59:$M$69,MATCH(E26,'2026_actual'!$A$59:$A$69,0),MATCH(C26,'2026_actual'!$B$58:$M$58,0))
)</f>
        <v>311150</v>
      </c>
      <c r="H26" s="13">
        <f t="shared" si="5"/>
        <v>-3433.3333333333139</v>
      </c>
      <c r="I26" s="10">
        <f t="shared" si="1"/>
        <v>-1.0913907284768151E-2</v>
      </c>
      <c r="J26" s="6" t="str">
        <f t="shared" si="6"/>
        <v>F</v>
      </c>
    </row>
    <row r="27" spans="1:10" x14ac:dyDescent="0.35">
      <c r="A27" s="26">
        <v>45352</v>
      </c>
      <c r="B27">
        <v>2024</v>
      </c>
      <c r="C27" t="s">
        <v>25</v>
      </c>
      <c r="D27" t="s">
        <v>146</v>
      </c>
      <c r="E27" t="s">
        <v>70</v>
      </c>
      <c r="F27" s="13" cm="1">
        <f t="array" ref="F27">_xlfn.SWITCH(B27,
2024,INDEX('2024_budget'!$B$59:$M$69,MATCH(E27,'2024_budget'!$A$59:$A$69,0),MATCH(C27,'2024_budget'!$B$58:$M$58,0)),
2025,INDEX('2025_budget'!$B$59:$M$69,MATCH(E27,'2025_budget'!$A$59:$A$69,0),MATCH(C27,'2025_budget'!$B$58:$M$58,0)),
2026,INDEX('2026_budget'!$B$59:$M$69,MATCH(E27,'2026_budget'!$A$59:$A$69,0),MATCH(C27,'2026_budget'!$B$58:$M$58,0))
)</f>
        <v>2949000</v>
      </c>
      <c r="G27" s="13" cm="1">
        <f t="array" ref="G27">_xlfn.SWITCH(B27,
2024,INDEX('2024_actual'!$B$59:$M$69,MATCH(E27,'2024_actual'!$A$59:$A$69,0),MATCH(C27,'2024_actual'!$B$58:$M$58,0)),
2025,INDEX('2025_actual'!$B$59:$M$69,MATCH(E27,'2025_actual'!$A$59:$A$69,0),MATCH(C27,'2025_actual'!$B$58:$M$58,0)),
2026,INDEX('2026_actual'!$B$59:$M$69,MATCH(E27,'2026_actual'!$A$59:$A$69,0),MATCH(C27,'2026_actual'!$B$58:$M$58,0))
)</f>
        <v>2914500</v>
      </c>
      <c r="H27" s="13">
        <f t="shared" si="5"/>
        <v>-34500</v>
      </c>
      <c r="I27" s="10">
        <f t="shared" si="1"/>
        <v>-1.1698880976602238E-2</v>
      </c>
      <c r="J27" s="6" t="str">
        <f t="shared" si="6"/>
        <v>F</v>
      </c>
    </row>
    <row r="28" spans="1:10" x14ac:dyDescent="0.35">
      <c r="A28" s="26">
        <v>45352</v>
      </c>
      <c r="B28">
        <v>2024</v>
      </c>
      <c r="C28" t="s">
        <v>25</v>
      </c>
      <c r="D28" t="s">
        <v>146</v>
      </c>
      <c r="E28" t="s">
        <v>71</v>
      </c>
      <c r="F28" s="13" cm="1">
        <f t="array" ref="F28">_xlfn.SWITCH(B28,
2024,INDEX('2024_budget'!$B$59:$M$69,MATCH(E28,'2024_budget'!$A$59:$A$69,0),MATCH(C28,'2024_budget'!$B$58:$M$58,0)),
2025,INDEX('2025_budget'!$B$59:$M$69,MATCH(E28,'2025_budget'!$A$59:$A$69,0),MATCH(C28,'2025_budget'!$B$58:$M$58,0)),
2026,INDEX('2026_budget'!$B$59:$M$69,MATCH(E28,'2026_budget'!$A$59:$A$69,0),MATCH(C28,'2026_budget'!$B$58:$M$58,0))
)</f>
        <v>251000</v>
      </c>
      <c r="G28" s="13" cm="1">
        <f t="array" ref="G28">_xlfn.SWITCH(B28,
2024,INDEX('2024_actual'!$B$59:$M$69,MATCH(E28,'2024_actual'!$A$59:$A$69,0),MATCH(C28,'2024_actual'!$B$58:$M$58,0)),
2025,INDEX('2025_actual'!$B$59:$M$69,MATCH(E28,'2025_actual'!$A$59:$A$69,0),MATCH(C28,'2025_actual'!$B$58:$M$58,0)),
2026,INDEX('2026_actual'!$B$59:$M$69,MATCH(E28,'2026_actual'!$A$59:$A$69,0),MATCH(C28,'2026_actual'!$B$58:$M$58,0))
)</f>
        <v>110500</v>
      </c>
      <c r="H28" s="13">
        <f t="shared" si="5"/>
        <v>-140500</v>
      </c>
      <c r="I28" s="10">
        <f t="shared" si="1"/>
        <v>-0.55976095617529875</v>
      </c>
      <c r="J28" s="6" t="str">
        <f>IF(G28&gt;=F28,"F","U")</f>
        <v>U</v>
      </c>
    </row>
    <row r="29" spans="1:10" x14ac:dyDescent="0.35">
      <c r="A29" s="26">
        <v>45383</v>
      </c>
      <c r="B29">
        <v>2024</v>
      </c>
      <c r="C29" t="s">
        <v>26</v>
      </c>
      <c r="D29" t="s">
        <v>146</v>
      </c>
      <c r="E29" t="s">
        <v>6</v>
      </c>
      <c r="F29" s="13" cm="1">
        <f t="array" ref="F29">_xlfn.SWITCH(B29,
2024,INDEX('2024_budget'!$B$59:$M$69,MATCH(E29,'2024_budget'!$A$59:$A$69,0),MATCH(C29,'2024_budget'!$B$58:$M$58,0)),
2025,INDEX('2025_budget'!$B$59:$M$69,MATCH(E29,'2025_budget'!$A$59:$A$69,0),MATCH(C29,'2025_budget'!$B$58:$M$58,0)),
2026,INDEX('2026_budget'!$B$59:$M$69,MATCH(E29,'2026_budget'!$A$59:$A$69,0),MATCH(C29,'2026_budget'!$B$58:$M$58,0))
)</f>
        <v>3200000</v>
      </c>
      <c r="G29" s="13" cm="1">
        <f t="array" ref="G29">_xlfn.SWITCH(B29,
2024,INDEX('2024_actual'!$B$59:$M$69,MATCH(E29,'2024_actual'!$A$59:$A$69,0),MATCH(C29,'2024_actual'!$B$58:$M$58,0)),
2025,INDEX('2025_actual'!$B$59:$M$69,MATCH(E29,'2025_actual'!$A$59:$A$69,0),MATCH(C29,'2025_actual'!$B$58:$M$58,0)),
2026,INDEX('2026_actual'!$B$59:$M$69,MATCH(E29,'2026_actual'!$A$59:$A$69,0),MATCH(C29,'2026_actual'!$B$58:$M$58,0))
)</f>
        <v>3070000</v>
      </c>
      <c r="H29" s="13">
        <f>G29-F29</f>
        <v>-130000</v>
      </c>
      <c r="I29" s="10">
        <f t="shared" si="1"/>
        <v>-4.0625000000000001E-2</v>
      </c>
      <c r="J29" s="6" t="str">
        <f>IF(G29&gt;=F29,"F","U")</f>
        <v>U</v>
      </c>
    </row>
    <row r="30" spans="1:10" x14ac:dyDescent="0.35">
      <c r="A30" s="26">
        <v>45383</v>
      </c>
      <c r="B30">
        <v>2024</v>
      </c>
      <c r="C30" t="s">
        <v>26</v>
      </c>
      <c r="D30" t="s">
        <v>11</v>
      </c>
      <c r="E30" t="s">
        <v>64</v>
      </c>
      <c r="F30" s="13" cm="1">
        <f t="array" ref="F30">_xlfn.SWITCH(B30,
2024,INDEX('2024_budget'!$B$59:$M$69,MATCH(E30,'2024_budget'!$A$59:$A$69,0),MATCH(C30,'2024_budget'!$B$58:$M$58,0)),
2025,INDEX('2025_budget'!$B$59:$M$69,MATCH(E30,'2025_budget'!$A$59:$A$69,0),MATCH(C30,'2025_budget'!$B$58:$M$58,0)),
2026,INDEX('2026_budget'!$B$59:$M$69,MATCH(E30,'2026_budget'!$A$59:$A$69,0),MATCH(C30,'2026_budget'!$B$58:$M$58,0))
)</f>
        <v>673166.66666666663</v>
      </c>
      <c r="G30" s="13" cm="1">
        <f t="array" ref="G30">_xlfn.SWITCH(B30,
2024,INDEX('2024_actual'!$B$59:$M$69,MATCH(E30,'2024_actual'!$A$59:$A$69,0),MATCH(C30,'2024_actual'!$B$58:$M$58,0)),
2025,INDEX('2025_actual'!$B$59:$M$69,MATCH(E30,'2025_actual'!$A$59:$A$69,0),MATCH(C30,'2025_actual'!$B$58:$M$58,0)),
2026,INDEX('2026_actual'!$B$59:$M$69,MATCH(E30,'2026_actual'!$A$59:$A$69,0),MATCH(C30,'2026_actual'!$B$58:$M$58,0))
)</f>
        <v>652000</v>
      </c>
      <c r="H30" s="13">
        <f t="shared" ref="H30:H37" si="7">G30-F30</f>
        <v>-21166.666666666628</v>
      </c>
      <c r="I30" s="10">
        <f t="shared" si="1"/>
        <v>-3.1443426590740224E-2</v>
      </c>
      <c r="J30" s="6" t="str">
        <f>IF(G30&lt;=F30,"F","U")</f>
        <v>F</v>
      </c>
    </row>
    <row r="31" spans="1:10" x14ac:dyDescent="0.35">
      <c r="A31" s="26">
        <v>45383</v>
      </c>
      <c r="B31">
        <v>2024</v>
      </c>
      <c r="C31" t="s">
        <v>26</v>
      </c>
      <c r="D31" t="s">
        <v>13</v>
      </c>
      <c r="E31" t="s">
        <v>65</v>
      </c>
      <c r="F31" s="13" cm="1">
        <f t="array" ref="F31">_xlfn.SWITCH(B31,
2024,INDEX('2024_budget'!$B$59:$M$69,MATCH(E31,'2024_budget'!$A$59:$A$69,0),MATCH(C31,'2024_budget'!$B$58:$M$58,0)),
2025,INDEX('2025_budget'!$B$59:$M$69,MATCH(E31,'2025_budget'!$A$59:$A$69,0),MATCH(C31,'2025_budget'!$B$58:$M$58,0)),
2026,INDEX('2026_budget'!$B$59:$M$69,MATCH(E31,'2026_budget'!$A$59:$A$69,0),MATCH(C31,'2026_budget'!$B$58:$M$58,0))
)</f>
        <v>391166.66666666669</v>
      </c>
      <c r="G31" s="13" cm="1">
        <f t="array" ref="G31">_xlfn.SWITCH(B31,
2024,INDEX('2024_actual'!$B$59:$M$69,MATCH(E31,'2024_actual'!$A$59:$A$69,0),MATCH(C31,'2024_actual'!$B$58:$M$58,0)),
2025,INDEX('2025_actual'!$B$59:$M$69,MATCH(E31,'2025_actual'!$A$59:$A$69,0),MATCH(C31,'2025_actual'!$B$58:$M$58,0)),
2026,INDEX('2026_actual'!$B$59:$M$69,MATCH(E31,'2026_actual'!$A$59:$A$69,0),MATCH(C31,'2026_actual'!$B$58:$M$58,0))
)</f>
        <v>396900</v>
      </c>
      <c r="H31" s="13">
        <f t="shared" si="7"/>
        <v>5733.3333333333139</v>
      </c>
      <c r="I31" s="10">
        <f t="shared" si="1"/>
        <v>1.4657008947592622E-2</v>
      </c>
      <c r="J31" s="6" t="str">
        <f t="shared" ref="J31:J36" si="8">IF(G31&lt;=F31,"F","U")</f>
        <v>U</v>
      </c>
    </row>
    <row r="32" spans="1:10" x14ac:dyDescent="0.35">
      <c r="A32" s="26">
        <v>45383</v>
      </c>
      <c r="B32">
        <v>2024</v>
      </c>
      <c r="C32" t="s">
        <v>26</v>
      </c>
      <c r="D32" t="s">
        <v>10</v>
      </c>
      <c r="E32" t="s">
        <v>66</v>
      </c>
      <c r="F32" s="13" cm="1">
        <f t="array" ref="F32">_xlfn.SWITCH(B32,
2024,INDEX('2024_budget'!$B$59:$M$69,MATCH(E32,'2024_budget'!$A$59:$A$69,0),MATCH(C32,'2024_budget'!$B$58:$M$58,0)),
2025,INDEX('2025_budget'!$B$59:$M$69,MATCH(E32,'2025_budget'!$A$59:$A$69,0),MATCH(C32,'2025_budget'!$B$58:$M$58,0)),
2026,INDEX('2026_budget'!$B$59:$M$69,MATCH(E32,'2026_budget'!$A$59:$A$69,0),MATCH(C32,'2026_budget'!$B$58:$M$58,0))
)</f>
        <v>1090500</v>
      </c>
      <c r="G32" s="13" cm="1">
        <f t="array" ref="G32">_xlfn.SWITCH(B32,
2024,INDEX('2024_actual'!$B$59:$M$69,MATCH(E32,'2024_actual'!$A$59:$A$69,0),MATCH(C32,'2024_actual'!$B$58:$M$58,0)),
2025,INDEX('2025_actual'!$B$59:$M$69,MATCH(E32,'2025_actual'!$A$59:$A$69,0),MATCH(C32,'2025_actual'!$B$58:$M$58,0)),
2026,INDEX('2026_actual'!$B$59:$M$69,MATCH(E32,'2026_actual'!$A$59:$A$69,0),MATCH(C32,'2026_actual'!$B$58:$M$58,0))
)</f>
        <v>1091000</v>
      </c>
      <c r="H32" s="13">
        <f t="shared" si="7"/>
        <v>500</v>
      </c>
      <c r="I32" s="10">
        <f t="shared" si="1"/>
        <v>4.5850527281063731E-4</v>
      </c>
      <c r="J32" s="6" t="str">
        <f t="shared" si="8"/>
        <v>U</v>
      </c>
    </row>
    <row r="33" spans="1:10" x14ac:dyDescent="0.35">
      <c r="A33" s="26">
        <v>45383</v>
      </c>
      <c r="B33">
        <v>2024</v>
      </c>
      <c r="C33" t="s">
        <v>26</v>
      </c>
      <c r="D33" t="s">
        <v>14</v>
      </c>
      <c r="E33" t="s">
        <v>67</v>
      </c>
      <c r="F33" s="13" cm="1">
        <f t="array" ref="F33">_xlfn.SWITCH(B33,
2024,INDEX('2024_budget'!$B$59:$M$69,MATCH(E33,'2024_budget'!$A$59:$A$69,0),MATCH(C33,'2024_budget'!$B$58:$M$58,0)),
2025,INDEX('2025_budget'!$B$59:$M$69,MATCH(E33,'2025_budget'!$A$59:$A$69,0),MATCH(C33,'2025_budget'!$B$58:$M$58,0)),
2026,INDEX('2026_budget'!$B$59:$M$69,MATCH(E33,'2026_budget'!$A$59:$A$69,0),MATCH(C33,'2026_budget'!$B$58:$M$58,0))
)</f>
        <v>212083.33333333334</v>
      </c>
      <c r="G33" s="13" cm="1">
        <f t="array" ref="G33">_xlfn.SWITCH(B33,
2024,INDEX('2024_actual'!$B$59:$M$69,MATCH(E33,'2024_actual'!$A$59:$A$69,0),MATCH(C33,'2024_actual'!$B$58:$M$58,0)),
2025,INDEX('2025_actual'!$B$59:$M$69,MATCH(E33,'2025_actual'!$A$59:$A$69,0),MATCH(C33,'2025_actual'!$B$58:$M$58,0)),
2026,INDEX('2026_actual'!$B$59:$M$69,MATCH(E33,'2026_actual'!$A$59:$A$69,0),MATCH(C33,'2026_actual'!$B$58:$M$58,0))
)</f>
        <v>210950</v>
      </c>
      <c r="H33" s="13">
        <f t="shared" si="7"/>
        <v>-1133.333333333343</v>
      </c>
      <c r="I33" s="10">
        <f t="shared" si="1"/>
        <v>-5.3438113948919902E-3</v>
      </c>
      <c r="J33" s="6" t="str">
        <f t="shared" si="8"/>
        <v>F</v>
      </c>
    </row>
    <row r="34" spans="1:10" x14ac:dyDescent="0.35">
      <c r="A34" s="26">
        <v>45383</v>
      </c>
      <c r="B34">
        <v>2024</v>
      </c>
      <c r="C34" t="s">
        <v>26</v>
      </c>
      <c r="D34" t="s">
        <v>12</v>
      </c>
      <c r="E34" t="s">
        <v>68</v>
      </c>
      <c r="F34" s="13" cm="1">
        <f t="array" ref="F34">_xlfn.SWITCH(B34,
2024,INDEX('2024_budget'!$B$59:$M$69,MATCH(E34,'2024_budget'!$A$59:$A$69,0),MATCH(C34,'2024_budget'!$B$58:$M$58,0)),
2025,INDEX('2025_budget'!$B$59:$M$69,MATCH(E34,'2025_budget'!$A$59:$A$69,0),MATCH(C34,'2025_budget'!$B$58:$M$58,0)),
2026,INDEX('2026_budget'!$B$59:$M$69,MATCH(E34,'2026_budget'!$A$59:$A$69,0),MATCH(C34,'2026_budget'!$B$58:$M$58,0))
)</f>
        <v>267500</v>
      </c>
      <c r="G34" s="13" cm="1">
        <f t="array" ref="G34">_xlfn.SWITCH(B34,
2024,INDEX('2024_actual'!$B$59:$M$69,MATCH(E34,'2024_actual'!$A$59:$A$69,0),MATCH(C34,'2024_actual'!$B$58:$M$58,0)),
2025,INDEX('2025_actual'!$B$59:$M$69,MATCH(E34,'2025_actual'!$A$59:$A$69,0),MATCH(C34,'2025_actual'!$B$58:$M$58,0)),
2026,INDEX('2026_actual'!$B$59:$M$69,MATCH(E34,'2026_actual'!$A$59:$A$69,0),MATCH(C34,'2026_actual'!$B$58:$M$58,0))
)</f>
        <v>264000</v>
      </c>
      <c r="H34" s="13">
        <f t="shared" si="7"/>
        <v>-3500</v>
      </c>
      <c r="I34" s="10">
        <f t="shared" si="1"/>
        <v>-1.3084112149532711E-2</v>
      </c>
      <c r="J34" s="6" t="str">
        <f t="shared" si="8"/>
        <v>F</v>
      </c>
    </row>
    <row r="35" spans="1:10" x14ac:dyDescent="0.35">
      <c r="A35" s="26">
        <v>45383</v>
      </c>
      <c r="B35">
        <v>2024</v>
      </c>
      <c r="C35" t="s">
        <v>26</v>
      </c>
      <c r="D35" t="s">
        <v>15</v>
      </c>
      <c r="E35" t="s">
        <v>69</v>
      </c>
      <c r="F35" s="13" cm="1">
        <f t="array" ref="F35">_xlfn.SWITCH(B35,
2024,INDEX('2024_budget'!$B$59:$M$69,MATCH(E35,'2024_budget'!$A$59:$A$69,0),MATCH(C35,'2024_budget'!$B$58:$M$58,0)),
2025,INDEX('2025_budget'!$B$59:$M$69,MATCH(E35,'2025_budget'!$A$59:$A$69,0),MATCH(C35,'2025_budget'!$B$58:$M$58,0)),
2026,INDEX('2026_budget'!$B$59:$M$69,MATCH(E35,'2026_budget'!$A$59:$A$69,0),MATCH(C35,'2026_budget'!$B$58:$M$58,0))
)</f>
        <v>314583.33333333331</v>
      </c>
      <c r="G35" s="13" cm="1">
        <f t="array" ref="G35">_xlfn.SWITCH(B35,
2024,INDEX('2024_actual'!$B$59:$M$69,MATCH(E35,'2024_actual'!$A$59:$A$69,0),MATCH(C35,'2024_actual'!$B$58:$M$58,0)),
2025,INDEX('2025_actual'!$B$59:$M$69,MATCH(E35,'2025_actual'!$A$59:$A$69,0),MATCH(C35,'2025_actual'!$B$58:$M$58,0)),
2026,INDEX('2026_actual'!$B$59:$M$69,MATCH(E35,'2026_actual'!$A$59:$A$69,0),MATCH(C35,'2026_actual'!$B$58:$M$58,0))
)</f>
        <v>311150</v>
      </c>
      <c r="H35" s="13">
        <f t="shared" si="7"/>
        <v>-3433.3333333333139</v>
      </c>
      <c r="I35" s="10">
        <f t="shared" si="1"/>
        <v>-1.0913907284768151E-2</v>
      </c>
      <c r="J35" s="6" t="str">
        <f t="shared" si="8"/>
        <v>F</v>
      </c>
    </row>
    <row r="36" spans="1:10" x14ac:dyDescent="0.35">
      <c r="A36" s="26">
        <v>45383</v>
      </c>
      <c r="B36">
        <v>2024</v>
      </c>
      <c r="C36" t="s">
        <v>26</v>
      </c>
      <c r="D36" t="s">
        <v>146</v>
      </c>
      <c r="E36" t="s">
        <v>70</v>
      </c>
      <c r="F36" s="13" cm="1">
        <f t="array" ref="F36">_xlfn.SWITCH(B36,
2024,INDEX('2024_budget'!$B$59:$M$69,MATCH(E36,'2024_budget'!$A$59:$A$69,0),MATCH(C36,'2024_budget'!$B$58:$M$58,0)),
2025,INDEX('2025_budget'!$B$59:$M$69,MATCH(E36,'2025_budget'!$A$59:$A$69,0),MATCH(C36,'2025_budget'!$B$58:$M$58,0)),
2026,INDEX('2026_budget'!$B$59:$M$69,MATCH(E36,'2026_budget'!$A$59:$A$69,0),MATCH(C36,'2026_budget'!$B$58:$M$58,0))
)</f>
        <v>2949000</v>
      </c>
      <c r="G36" s="13" cm="1">
        <f t="array" ref="G36">_xlfn.SWITCH(B36,
2024,INDEX('2024_actual'!$B$59:$M$69,MATCH(E36,'2024_actual'!$A$59:$A$69,0),MATCH(C36,'2024_actual'!$B$58:$M$58,0)),
2025,INDEX('2025_actual'!$B$59:$M$69,MATCH(E36,'2025_actual'!$A$59:$A$69,0),MATCH(C36,'2025_actual'!$B$58:$M$58,0)),
2026,INDEX('2026_actual'!$B$59:$M$69,MATCH(E36,'2026_actual'!$A$59:$A$69,0),MATCH(C36,'2026_actual'!$B$58:$M$58,0))
)</f>
        <v>2926000</v>
      </c>
      <c r="H36" s="13">
        <f t="shared" si="7"/>
        <v>-23000</v>
      </c>
      <c r="I36" s="10">
        <f t="shared" si="1"/>
        <v>-7.7992539844014917E-3</v>
      </c>
      <c r="J36" s="6" t="str">
        <f t="shared" si="8"/>
        <v>F</v>
      </c>
    </row>
    <row r="37" spans="1:10" x14ac:dyDescent="0.35">
      <c r="A37" s="26">
        <v>45383</v>
      </c>
      <c r="B37">
        <v>2024</v>
      </c>
      <c r="C37" t="s">
        <v>26</v>
      </c>
      <c r="D37" t="s">
        <v>146</v>
      </c>
      <c r="E37" t="s">
        <v>71</v>
      </c>
      <c r="F37" s="13" cm="1">
        <f t="array" ref="F37">_xlfn.SWITCH(B37,
2024,INDEX('2024_budget'!$B$59:$M$69,MATCH(E37,'2024_budget'!$A$59:$A$69,0),MATCH(C37,'2024_budget'!$B$58:$M$58,0)),
2025,INDEX('2025_budget'!$B$59:$M$69,MATCH(E37,'2025_budget'!$A$59:$A$69,0),MATCH(C37,'2025_budget'!$B$58:$M$58,0)),
2026,INDEX('2026_budget'!$B$59:$M$69,MATCH(E37,'2026_budget'!$A$59:$A$69,0),MATCH(C37,'2026_budget'!$B$58:$M$58,0))
)</f>
        <v>251000</v>
      </c>
      <c r="G37" s="13" cm="1">
        <f t="array" ref="G37">_xlfn.SWITCH(B37,
2024,INDEX('2024_actual'!$B$59:$M$69,MATCH(E37,'2024_actual'!$A$59:$A$69,0),MATCH(C37,'2024_actual'!$B$58:$M$58,0)),
2025,INDEX('2025_actual'!$B$59:$M$69,MATCH(E37,'2025_actual'!$A$59:$A$69,0),MATCH(C37,'2025_actual'!$B$58:$M$58,0)),
2026,INDEX('2026_actual'!$B$59:$M$69,MATCH(E37,'2026_actual'!$A$59:$A$69,0),MATCH(C37,'2026_actual'!$B$58:$M$58,0))
)</f>
        <v>144000</v>
      </c>
      <c r="H37" s="13">
        <f t="shared" si="7"/>
        <v>-107000</v>
      </c>
      <c r="I37" s="10">
        <f t="shared" si="1"/>
        <v>-0.42629482071713148</v>
      </c>
      <c r="J37" s="6" t="str">
        <f>IF(G37&gt;=F37,"F","U")</f>
        <v>U</v>
      </c>
    </row>
    <row r="38" spans="1:10" x14ac:dyDescent="0.35">
      <c r="A38" s="26">
        <v>45413</v>
      </c>
      <c r="B38">
        <v>2024</v>
      </c>
      <c r="C38" t="s">
        <v>27</v>
      </c>
      <c r="D38" t="s">
        <v>146</v>
      </c>
      <c r="E38" t="s">
        <v>6</v>
      </c>
      <c r="F38" s="13" cm="1">
        <f t="array" ref="F38">_xlfn.SWITCH(B38,
2024,INDEX('2024_budget'!$B$59:$M$69,MATCH(E38,'2024_budget'!$A$59:$A$69,0),MATCH(C38,'2024_budget'!$B$58:$M$58,0)),
2025,INDEX('2025_budget'!$B$59:$M$69,MATCH(E38,'2025_budget'!$A$59:$A$69,0),MATCH(C38,'2025_budget'!$B$58:$M$58,0)),
2026,INDEX('2026_budget'!$B$59:$M$69,MATCH(E38,'2026_budget'!$A$59:$A$69,0),MATCH(C38,'2026_budget'!$B$58:$M$58,0))
)</f>
        <v>3200000</v>
      </c>
      <c r="G38" s="13" cm="1">
        <f t="array" ref="G38">_xlfn.SWITCH(B38,
2024,INDEX('2024_actual'!$B$59:$M$69,MATCH(E38,'2024_actual'!$A$59:$A$69,0),MATCH(C38,'2024_actual'!$B$58:$M$58,0)),
2025,INDEX('2025_actual'!$B$59:$M$69,MATCH(E38,'2025_actual'!$A$59:$A$69,0),MATCH(C38,'2025_actual'!$B$58:$M$58,0)),
2026,INDEX('2026_actual'!$B$59:$M$69,MATCH(E38,'2026_actual'!$A$59:$A$69,0),MATCH(C38,'2026_actual'!$B$58:$M$58,0))
)</f>
        <v>3105000</v>
      </c>
      <c r="H38" s="13">
        <f>G38-F38</f>
        <v>-95000</v>
      </c>
      <c r="I38" s="10">
        <f t="shared" si="1"/>
        <v>-2.9687499999999999E-2</v>
      </c>
      <c r="J38" s="6" t="str">
        <f>IF(G38&gt;=F38,"F","U")</f>
        <v>U</v>
      </c>
    </row>
    <row r="39" spans="1:10" x14ac:dyDescent="0.35">
      <c r="A39" s="26">
        <v>45413</v>
      </c>
      <c r="B39">
        <v>2024</v>
      </c>
      <c r="C39" t="s">
        <v>27</v>
      </c>
      <c r="D39" t="s">
        <v>11</v>
      </c>
      <c r="E39" t="s">
        <v>64</v>
      </c>
      <c r="F39" s="13" cm="1">
        <f t="array" ref="F39">_xlfn.SWITCH(B39,
2024,INDEX('2024_budget'!$B$59:$M$69,MATCH(E39,'2024_budget'!$A$59:$A$69,0),MATCH(C39,'2024_budget'!$B$58:$M$58,0)),
2025,INDEX('2025_budget'!$B$59:$M$69,MATCH(E39,'2025_budget'!$A$59:$A$69,0),MATCH(C39,'2025_budget'!$B$58:$M$58,0)),
2026,INDEX('2026_budget'!$B$59:$M$69,MATCH(E39,'2026_budget'!$A$59:$A$69,0),MATCH(C39,'2026_budget'!$B$58:$M$58,0))
)</f>
        <v>673166.66666666663</v>
      </c>
      <c r="G39" s="13" cm="1">
        <f t="array" ref="G39">_xlfn.SWITCH(B39,
2024,INDEX('2024_actual'!$B$59:$M$69,MATCH(E39,'2024_actual'!$A$59:$A$69,0),MATCH(C39,'2024_actual'!$B$58:$M$58,0)),
2025,INDEX('2025_actual'!$B$59:$M$69,MATCH(E39,'2025_actual'!$A$59:$A$69,0),MATCH(C39,'2025_actual'!$B$58:$M$58,0)),
2026,INDEX('2026_actual'!$B$59:$M$69,MATCH(E39,'2026_actual'!$A$59:$A$69,0),MATCH(C39,'2026_actual'!$B$58:$M$58,0))
)</f>
        <v>653500</v>
      </c>
      <c r="H39" s="13">
        <f t="shared" ref="H39:H46" si="9">G39-F39</f>
        <v>-19666.666666666628</v>
      </c>
      <c r="I39" s="10">
        <f t="shared" si="1"/>
        <v>-2.9215152265412176E-2</v>
      </c>
      <c r="J39" s="6" t="str">
        <f>IF(G39&lt;=F39,"F","U")</f>
        <v>F</v>
      </c>
    </row>
    <row r="40" spans="1:10" x14ac:dyDescent="0.35">
      <c r="A40" s="26">
        <v>45413</v>
      </c>
      <c r="B40">
        <v>2024</v>
      </c>
      <c r="C40" t="s">
        <v>27</v>
      </c>
      <c r="D40" t="s">
        <v>13</v>
      </c>
      <c r="E40" t="s">
        <v>65</v>
      </c>
      <c r="F40" s="13" cm="1">
        <f t="array" ref="F40">_xlfn.SWITCH(B40,
2024,INDEX('2024_budget'!$B$59:$M$69,MATCH(E40,'2024_budget'!$A$59:$A$69,0),MATCH(C40,'2024_budget'!$B$58:$M$58,0)),
2025,INDEX('2025_budget'!$B$59:$M$69,MATCH(E40,'2025_budget'!$A$59:$A$69,0),MATCH(C40,'2025_budget'!$B$58:$M$58,0)),
2026,INDEX('2026_budget'!$B$59:$M$69,MATCH(E40,'2026_budget'!$A$59:$A$69,0),MATCH(C40,'2026_budget'!$B$58:$M$58,0))
)</f>
        <v>391166.66666666669</v>
      </c>
      <c r="G40" s="13" cm="1">
        <f t="array" ref="G40">_xlfn.SWITCH(B40,
2024,INDEX('2024_actual'!$B$59:$M$69,MATCH(E40,'2024_actual'!$A$59:$A$69,0),MATCH(C40,'2024_actual'!$B$58:$M$58,0)),
2025,INDEX('2025_actual'!$B$59:$M$69,MATCH(E40,'2025_actual'!$A$59:$A$69,0),MATCH(C40,'2025_actual'!$B$58:$M$58,0)),
2026,INDEX('2026_actual'!$B$59:$M$69,MATCH(E40,'2026_actual'!$A$59:$A$69,0),MATCH(C40,'2026_actual'!$B$58:$M$58,0))
)</f>
        <v>403600</v>
      </c>
      <c r="H40" s="13">
        <f t="shared" si="9"/>
        <v>12433.333333333314</v>
      </c>
      <c r="I40" s="10">
        <f t="shared" si="1"/>
        <v>3.1785257775884056E-2</v>
      </c>
      <c r="J40" s="6" t="str">
        <f t="shared" ref="J40:J45" si="10">IF(G40&lt;=F40,"F","U")</f>
        <v>U</v>
      </c>
    </row>
    <row r="41" spans="1:10" x14ac:dyDescent="0.35">
      <c r="A41" s="26">
        <v>45413</v>
      </c>
      <c r="B41">
        <v>2024</v>
      </c>
      <c r="C41" t="s">
        <v>27</v>
      </c>
      <c r="D41" t="s">
        <v>10</v>
      </c>
      <c r="E41" t="s">
        <v>66</v>
      </c>
      <c r="F41" s="13" cm="1">
        <f t="array" ref="F41">_xlfn.SWITCH(B41,
2024,INDEX('2024_budget'!$B$59:$M$69,MATCH(E41,'2024_budget'!$A$59:$A$69,0),MATCH(C41,'2024_budget'!$B$58:$M$58,0)),
2025,INDEX('2025_budget'!$B$59:$M$69,MATCH(E41,'2025_budget'!$A$59:$A$69,0),MATCH(C41,'2025_budget'!$B$58:$M$58,0)),
2026,INDEX('2026_budget'!$B$59:$M$69,MATCH(E41,'2026_budget'!$A$59:$A$69,0),MATCH(C41,'2026_budget'!$B$58:$M$58,0))
)</f>
        <v>1090500</v>
      </c>
      <c r="G41" s="13" cm="1">
        <f t="array" ref="G41">_xlfn.SWITCH(B41,
2024,INDEX('2024_actual'!$B$59:$M$69,MATCH(E41,'2024_actual'!$A$59:$A$69,0),MATCH(C41,'2024_actual'!$B$58:$M$58,0)),
2025,INDEX('2025_actual'!$B$59:$M$69,MATCH(E41,'2025_actual'!$A$59:$A$69,0),MATCH(C41,'2025_actual'!$B$58:$M$58,0)),
2026,INDEX('2026_actual'!$B$59:$M$69,MATCH(E41,'2026_actual'!$A$59:$A$69,0),MATCH(C41,'2026_actual'!$B$58:$M$58,0))
)</f>
        <v>1099000</v>
      </c>
      <c r="H41" s="13">
        <f t="shared" si="9"/>
        <v>8500</v>
      </c>
      <c r="I41" s="10">
        <f t="shared" si="1"/>
        <v>7.7945896377808344E-3</v>
      </c>
      <c r="J41" s="6" t="str">
        <f t="shared" si="10"/>
        <v>U</v>
      </c>
    </row>
    <row r="42" spans="1:10" x14ac:dyDescent="0.35">
      <c r="A42" s="26">
        <v>45413</v>
      </c>
      <c r="B42">
        <v>2024</v>
      </c>
      <c r="C42" t="s">
        <v>27</v>
      </c>
      <c r="D42" t="s">
        <v>14</v>
      </c>
      <c r="E42" t="s">
        <v>67</v>
      </c>
      <c r="F42" s="13" cm="1">
        <f t="array" ref="F42">_xlfn.SWITCH(B42,
2024,INDEX('2024_budget'!$B$59:$M$69,MATCH(E42,'2024_budget'!$A$59:$A$69,0),MATCH(C42,'2024_budget'!$B$58:$M$58,0)),
2025,INDEX('2025_budget'!$B$59:$M$69,MATCH(E42,'2025_budget'!$A$59:$A$69,0),MATCH(C42,'2025_budget'!$B$58:$M$58,0)),
2026,INDEX('2026_budget'!$B$59:$M$69,MATCH(E42,'2026_budget'!$A$59:$A$69,0),MATCH(C42,'2026_budget'!$B$58:$M$58,0))
)</f>
        <v>212083.33333333334</v>
      </c>
      <c r="G42" s="13" cm="1">
        <f t="array" ref="G42">_xlfn.SWITCH(B42,
2024,INDEX('2024_actual'!$B$59:$M$69,MATCH(E42,'2024_actual'!$A$59:$A$69,0),MATCH(C42,'2024_actual'!$B$58:$M$58,0)),
2025,INDEX('2025_actual'!$B$59:$M$69,MATCH(E42,'2025_actual'!$A$59:$A$69,0),MATCH(C42,'2025_actual'!$B$58:$M$58,0)),
2026,INDEX('2026_actual'!$B$59:$M$69,MATCH(E42,'2026_actual'!$A$59:$A$69,0),MATCH(C42,'2026_actual'!$B$58:$M$58,0))
)</f>
        <v>211950</v>
      </c>
      <c r="H42" s="13">
        <f t="shared" si="9"/>
        <v>-133.33333333334303</v>
      </c>
      <c r="I42" s="10">
        <f t="shared" si="1"/>
        <v>-6.2868369351674511E-4</v>
      </c>
      <c r="J42" s="6" t="str">
        <f t="shared" si="10"/>
        <v>F</v>
      </c>
    </row>
    <row r="43" spans="1:10" x14ac:dyDescent="0.35">
      <c r="A43" s="26">
        <v>45413</v>
      </c>
      <c r="B43">
        <v>2024</v>
      </c>
      <c r="C43" t="s">
        <v>27</v>
      </c>
      <c r="D43" t="s">
        <v>12</v>
      </c>
      <c r="E43" t="s">
        <v>68</v>
      </c>
      <c r="F43" s="13" cm="1">
        <f t="array" ref="F43">_xlfn.SWITCH(B43,
2024,INDEX('2024_budget'!$B$59:$M$69,MATCH(E43,'2024_budget'!$A$59:$A$69,0),MATCH(C43,'2024_budget'!$B$58:$M$58,0)),
2025,INDEX('2025_budget'!$B$59:$M$69,MATCH(E43,'2025_budget'!$A$59:$A$69,0),MATCH(C43,'2025_budget'!$B$58:$M$58,0)),
2026,INDEX('2026_budget'!$B$59:$M$69,MATCH(E43,'2026_budget'!$A$59:$A$69,0),MATCH(C43,'2026_budget'!$B$58:$M$58,0))
)</f>
        <v>267500</v>
      </c>
      <c r="G43" s="13" cm="1">
        <f t="array" ref="G43">_xlfn.SWITCH(B43,
2024,INDEX('2024_actual'!$B$59:$M$69,MATCH(E43,'2024_actual'!$A$59:$A$69,0),MATCH(C43,'2024_actual'!$B$58:$M$58,0)),
2025,INDEX('2025_actual'!$B$59:$M$69,MATCH(E43,'2025_actual'!$A$59:$A$69,0),MATCH(C43,'2025_actual'!$B$58:$M$58,0)),
2026,INDEX('2026_actual'!$B$59:$M$69,MATCH(E43,'2026_actual'!$A$59:$A$69,0),MATCH(C43,'2026_actual'!$B$58:$M$58,0))
)</f>
        <v>265200</v>
      </c>
      <c r="H43" s="13">
        <f t="shared" si="9"/>
        <v>-2300</v>
      </c>
      <c r="I43" s="10">
        <f t="shared" si="1"/>
        <v>-8.5981308411214961E-3</v>
      </c>
      <c r="J43" s="6" t="str">
        <f t="shared" si="10"/>
        <v>F</v>
      </c>
    </row>
    <row r="44" spans="1:10" x14ac:dyDescent="0.35">
      <c r="A44" s="26">
        <v>45413</v>
      </c>
      <c r="B44">
        <v>2024</v>
      </c>
      <c r="C44" t="s">
        <v>27</v>
      </c>
      <c r="D44" t="s">
        <v>15</v>
      </c>
      <c r="E44" t="s">
        <v>69</v>
      </c>
      <c r="F44" s="13" cm="1">
        <f t="array" ref="F44">_xlfn.SWITCH(B44,
2024,INDEX('2024_budget'!$B$59:$M$69,MATCH(E44,'2024_budget'!$A$59:$A$69,0),MATCH(C44,'2024_budget'!$B$58:$M$58,0)),
2025,INDEX('2025_budget'!$B$59:$M$69,MATCH(E44,'2025_budget'!$A$59:$A$69,0),MATCH(C44,'2025_budget'!$B$58:$M$58,0)),
2026,INDEX('2026_budget'!$B$59:$M$69,MATCH(E44,'2026_budget'!$A$59:$A$69,0),MATCH(C44,'2026_budget'!$B$58:$M$58,0))
)</f>
        <v>314583.33333333331</v>
      </c>
      <c r="G44" s="13" cm="1">
        <f t="array" ref="G44">_xlfn.SWITCH(B44,
2024,INDEX('2024_actual'!$B$59:$M$69,MATCH(E44,'2024_actual'!$A$59:$A$69,0),MATCH(C44,'2024_actual'!$B$58:$M$58,0)),
2025,INDEX('2025_actual'!$B$59:$M$69,MATCH(E44,'2025_actual'!$A$59:$A$69,0),MATCH(C44,'2025_actual'!$B$58:$M$58,0)),
2026,INDEX('2026_actual'!$B$59:$M$69,MATCH(E44,'2026_actual'!$A$59:$A$69,0),MATCH(C44,'2026_actual'!$B$58:$M$58,0))
)</f>
        <v>314350</v>
      </c>
      <c r="H44" s="13">
        <f t="shared" si="9"/>
        <v>-233.33333333331393</v>
      </c>
      <c r="I44" s="10">
        <f t="shared" si="1"/>
        <v>-7.4172185430457411E-4</v>
      </c>
      <c r="J44" s="6" t="str">
        <f t="shared" si="10"/>
        <v>F</v>
      </c>
    </row>
    <row r="45" spans="1:10" x14ac:dyDescent="0.35">
      <c r="A45" s="26">
        <v>45413</v>
      </c>
      <c r="B45">
        <v>2024</v>
      </c>
      <c r="C45" t="s">
        <v>27</v>
      </c>
      <c r="D45" t="s">
        <v>146</v>
      </c>
      <c r="E45" t="s">
        <v>70</v>
      </c>
      <c r="F45" s="13" cm="1">
        <f t="array" ref="F45">_xlfn.SWITCH(B45,
2024,INDEX('2024_budget'!$B$59:$M$69,MATCH(E45,'2024_budget'!$A$59:$A$69,0),MATCH(C45,'2024_budget'!$B$58:$M$58,0)),
2025,INDEX('2025_budget'!$B$59:$M$69,MATCH(E45,'2025_budget'!$A$59:$A$69,0),MATCH(C45,'2025_budget'!$B$58:$M$58,0)),
2026,INDEX('2026_budget'!$B$59:$M$69,MATCH(E45,'2026_budget'!$A$59:$A$69,0),MATCH(C45,'2026_budget'!$B$58:$M$58,0))
)</f>
        <v>2949000</v>
      </c>
      <c r="G45" s="13" cm="1">
        <f t="array" ref="G45">_xlfn.SWITCH(B45,
2024,INDEX('2024_actual'!$B$59:$M$69,MATCH(E45,'2024_actual'!$A$59:$A$69,0),MATCH(C45,'2024_actual'!$B$58:$M$58,0)),
2025,INDEX('2025_actual'!$B$59:$M$69,MATCH(E45,'2025_actual'!$A$59:$A$69,0),MATCH(C45,'2025_actual'!$B$58:$M$58,0)),
2026,INDEX('2026_actual'!$B$59:$M$69,MATCH(E45,'2026_actual'!$A$59:$A$69,0),MATCH(C45,'2026_actual'!$B$58:$M$58,0))
)</f>
        <v>2947600</v>
      </c>
      <c r="H45" s="13">
        <f t="shared" si="9"/>
        <v>-1400</v>
      </c>
      <c r="I45" s="10">
        <f t="shared" si="1"/>
        <v>-4.7473719905052561E-4</v>
      </c>
      <c r="J45" s="6" t="str">
        <f t="shared" si="10"/>
        <v>F</v>
      </c>
    </row>
    <row r="46" spans="1:10" x14ac:dyDescent="0.35">
      <c r="A46" s="26">
        <v>45413</v>
      </c>
      <c r="B46">
        <v>2024</v>
      </c>
      <c r="C46" t="s">
        <v>27</v>
      </c>
      <c r="D46" t="s">
        <v>146</v>
      </c>
      <c r="E46" t="s">
        <v>71</v>
      </c>
      <c r="F46" s="13" cm="1">
        <f t="array" ref="F46">_xlfn.SWITCH(B46,
2024,INDEX('2024_budget'!$B$59:$M$69,MATCH(E46,'2024_budget'!$A$59:$A$69,0),MATCH(C46,'2024_budget'!$B$58:$M$58,0)),
2025,INDEX('2025_budget'!$B$59:$M$69,MATCH(E46,'2025_budget'!$A$59:$A$69,0),MATCH(C46,'2025_budget'!$B$58:$M$58,0)),
2026,INDEX('2026_budget'!$B$59:$M$69,MATCH(E46,'2026_budget'!$A$59:$A$69,0),MATCH(C46,'2026_budget'!$B$58:$M$58,0))
)</f>
        <v>251000</v>
      </c>
      <c r="G46" s="13" cm="1">
        <f t="array" ref="G46">_xlfn.SWITCH(B46,
2024,INDEX('2024_actual'!$B$59:$M$69,MATCH(E46,'2024_actual'!$A$59:$A$69,0),MATCH(C46,'2024_actual'!$B$58:$M$58,0)),
2025,INDEX('2025_actual'!$B$59:$M$69,MATCH(E46,'2025_actual'!$A$59:$A$69,0),MATCH(C46,'2025_actual'!$B$58:$M$58,0)),
2026,INDEX('2026_actual'!$B$59:$M$69,MATCH(E46,'2026_actual'!$A$59:$A$69,0),MATCH(C46,'2026_actual'!$B$58:$M$58,0))
)</f>
        <v>157400</v>
      </c>
      <c r="H46" s="13">
        <f t="shared" si="9"/>
        <v>-93600</v>
      </c>
      <c r="I46" s="10">
        <f t="shared" si="1"/>
        <v>-0.37290836653386455</v>
      </c>
      <c r="J46" s="6" t="str">
        <f>IF(G46&gt;=F46,"F","U")</f>
        <v>U</v>
      </c>
    </row>
    <row r="47" spans="1:10" x14ac:dyDescent="0.35">
      <c r="A47" s="26">
        <v>45444</v>
      </c>
      <c r="B47">
        <v>2024</v>
      </c>
      <c r="C47" t="s">
        <v>28</v>
      </c>
      <c r="D47" t="s">
        <v>146</v>
      </c>
      <c r="E47" t="s">
        <v>6</v>
      </c>
      <c r="F47" s="13" cm="1">
        <f t="array" ref="F47">_xlfn.SWITCH(B47,
2024,INDEX('2024_budget'!$B$59:$M$69,MATCH(E47,'2024_budget'!$A$59:$A$69,0),MATCH(C47,'2024_budget'!$B$58:$M$58,0)),
2025,INDEX('2025_budget'!$B$59:$M$69,MATCH(E47,'2025_budget'!$A$59:$A$69,0),MATCH(C47,'2025_budget'!$B$58:$M$58,0)),
2026,INDEX('2026_budget'!$B$59:$M$69,MATCH(E47,'2026_budget'!$A$59:$A$69,0),MATCH(C47,'2026_budget'!$B$58:$M$58,0))
)</f>
        <v>3200000</v>
      </c>
      <c r="G47" s="13" cm="1">
        <f t="array" ref="G47">_xlfn.SWITCH(B47,
2024,INDEX('2024_actual'!$B$59:$M$69,MATCH(E47,'2024_actual'!$A$59:$A$69,0),MATCH(C47,'2024_actual'!$B$58:$M$58,0)),
2025,INDEX('2025_actual'!$B$59:$M$69,MATCH(E47,'2025_actual'!$A$59:$A$69,0),MATCH(C47,'2025_actual'!$B$58:$M$58,0)),
2026,INDEX('2026_actual'!$B$59:$M$69,MATCH(E47,'2026_actual'!$A$59:$A$69,0),MATCH(C47,'2026_actual'!$B$58:$M$58,0))
)</f>
        <v>3135000</v>
      </c>
      <c r="H47" s="13">
        <f>G47-F47</f>
        <v>-65000</v>
      </c>
      <c r="I47" s="10">
        <f t="shared" si="1"/>
        <v>-2.0312500000000001E-2</v>
      </c>
      <c r="J47" s="6" t="str">
        <f>IF(G47&gt;=F47,"F","U")</f>
        <v>U</v>
      </c>
    </row>
    <row r="48" spans="1:10" x14ac:dyDescent="0.35">
      <c r="A48" s="26">
        <v>45444</v>
      </c>
      <c r="B48">
        <v>2024</v>
      </c>
      <c r="C48" t="s">
        <v>28</v>
      </c>
      <c r="D48" t="s">
        <v>11</v>
      </c>
      <c r="E48" t="s">
        <v>64</v>
      </c>
      <c r="F48" s="13" cm="1">
        <f t="array" ref="F48">_xlfn.SWITCH(B48,
2024,INDEX('2024_budget'!$B$59:$M$69,MATCH(E48,'2024_budget'!$A$59:$A$69,0),MATCH(C48,'2024_budget'!$B$58:$M$58,0)),
2025,INDEX('2025_budget'!$B$59:$M$69,MATCH(E48,'2025_budget'!$A$59:$A$69,0),MATCH(C48,'2025_budget'!$B$58:$M$58,0)),
2026,INDEX('2026_budget'!$B$59:$M$69,MATCH(E48,'2026_budget'!$A$59:$A$69,0),MATCH(C48,'2026_budget'!$B$58:$M$58,0))
)</f>
        <v>673166.66666666663</v>
      </c>
      <c r="G48" s="13" cm="1">
        <f t="array" ref="G48">_xlfn.SWITCH(B48,
2024,INDEX('2024_actual'!$B$59:$M$69,MATCH(E48,'2024_actual'!$A$59:$A$69,0),MATCH(C48,'2024_actual'!$B$58:$M$58,0)),
2025,INDEX('2025_actual'!$B$59:$M$69,MATCH(E48,'2025_actual'!$A$59:$A$69,0),MATCH(C48,'2025_actual'!$B$58:$M$58,0)),
2026,INDEX('2026_actual'!$B$59:$M$69,MATCH(E48,'2026_actual'!$A$59:$A$69,0),MATCH(C48,'2026_actual'!$B$58:$M$58,0))
)</f>
        <v>662000</v>
      </c>
      <c r="H48" s="13">
        <f t="shared" ref="H48:H55" si="11">G48-F48</f>
        <v>-11166.666666666628</v>
      </c>
      <c r="I48" s="10">
        <f t="shared" si="1"/>
        <v>-1.6588264421886548E-2</v>
      </c>
      <c r="J48" s="6" t="str">
        <f>IF(G48&lt;=F48,"F","U")</f>
        <v>F</v>
      </c>
    </row>
    <row r="49" spans="1:10" x14ac:dyDescent="0.35">
      <c r="A49" s="26">
        <v>45444</v>
      </c>
      <c r="B49">
        <v>2024</v>
      </c>
      <c r="C49" t="s">
        <v>28</v>
      </c>
      <c r="D49" t="s">
        <v>13</v>
      </c>
      <c r="E49" t="s">
        <v>65</v>
      </c>
      <c r="F49" s="13" cm="1">
        <f t="array" ref="F49">_xlfn.SWITCH(B49,
2024,INDEX('2024_budget'!$B$59:$M$69,MATCH(E49,'2024_budget'!$A$59:$A$69,0),MATCH(C49,'2024_budget'!$B$58:$M$58,0)),
2025,INDEX('2025_budget'!$B$59:$M$69,MATCH(E49,'2025_budget'!$A$59:$A$69,0),MATCH(C49,'2025_budget'!$B$58:$M$58,0)),
2026,INDEX('2026_budget'!$B$59:$M$69,MATCH(E49,'2026_budget'!$A$59:$A$69,0),MATCH(C49,'2026_budget'!$B$58:$M$58,0))
)</f>
        <v>391166.66666666669</v>
      </c>
      <c r="G49" s="13" cm="1">
        <f t="array" ref="G49">_xlfn.SWITCH(B49,
2024,INDEX('2024_actual'!$B$59:$M$69,MATCH(E49,'2024_actual'!$A$59:$A$69,0),MATCH(C49,'2024_actual'!$B$58:$M$58,0)),
2025,INDEX('2025_actual'!$B$59:$M$69,MATCH(E49,'2025_actual'!$A$59:$A$69,0),MATCH(C49,'2025_actual'!$B$58:$M$58,0)),
2026,INDEX('2026_actual'!$B$59:$M$69,MATCH(E49,'2026_actual'!$A$59:$A$69,0),MATCH(C49,'2026_actual'!$B$58:$M$58,0))
)</f>
        <v>408600</v>
      </c>
      <c r="H49" s="13">
        <f t="shared" si="11"/>
        <v>17433.333333333314</v>
      </c>
      <c r="I49" s="10">
        <f t="shared" si="1"/>
        <v>4.4567533020877667E-2</v>
      </c>
      <c r="J49" s="6" t="str">
        <f t="shared" ref="J49:J54" si="12">IF(G49&lt;=F49,"F","U")</f>
        <v>U</v>
      </c>
    </row>
    <row r="50" spans="1:10" x14ac:dyDescent="0.35">
      <c r="A50" s="26">
        <v>45444</v>
      </c>
      <c r="B50">
        <v>2024</v>
      </c>
      <c r="C50" t="s">
        <v>28</v>
      </c>
      <c r="D50" t="s">
        <v>10</v>
      </c>
      <c r="E50" t="s">
        <v>66</v>
      </c>
      <c r="F50" s="13" cm="1">
        <f t="array" ref="F50">_xlfn.SWITCH(B50,
2024,INDEX('2024_budget'!$B$59:$M$69,MATCH(E50,'2024_budget'!$A$59:$A$69,0),MATCH(C50,'2024_budget'!$B$58:$M$58,0)),
2025,INDEX('2025_budget'!$B$59:$M$69,MATCH(E50,'2025_budget'!$A$59:$A$69,0),MATCH(C50,'2025_budget'!$B$58:$M$58,0)),
2026,INDEX('2026_budget'!$B$59:$M$69,MATCH(E50,'2026_budget'!$A$59:$A$69,0),MATCH(C50,'2026_budget'!$B$58:$M$58,0))
)</f>
        <v>1090500</v>
      </c>
      <c r="G50" s="13" cm="1">
        <f t="array" ref="G50">_xlfn.SWITCH(B50,
2024,INDEX('2024_actual'!$B$59:$M$69,MATCH(E50,'2024_actual'!$A$59:$A$69,0),MATCH(C50,'2024_actual'!$B$58:$M$58,0)),
2025,INDEX('2025_actual'!$B$59:$M$69,MATCH(E50,'2025_actual'!$A$59:$A$69,0),MATCH(C50,'2025_actual'!$B$58:$M$58,0)),
2026,INDEX('2026_actual'!$B$59:$M$69,MATCH(E50,'2026_actual'!$A$59:$A$69,0),MATCH(C50,'2026_actual'!$B$58:$M$58,0))
)</f>
        <v>1101000</v>
      </c>
      <c r="H50" s="13">
        <f t="shared" si="11"/>
        <v>10500</v>
      </c>
      <c r="I50" s="10">
        <f t="shared" si="1"/>
        <v>9.6286107290233843E-3</v>
      </c>
      <c r="J50" s="6" t="str">
        <f t="shared" si="12"/>
        <v>U</v>
      </c>
    </row>
    <row r="51" spans="1:10" x14ac:dyDescent="0.35">
      <c r="A51" s="26">
        <v>45444</v>
      </c>
      <c r="B51">
        <v>2024</v>
      </c>
      <c r="C51" t="s">
        <v>28</v>
      </c>
      <c r="D51" t="s">
        <v>14</v>
      </c>
      <c r="E51" t="s">
        <v>67</v>
      </c>
      <c r="F51" s="13" cm="1">
        <f t="array" ref="F51">_xlfn.SWITCH(B51,
2024,INDEX('2024_budget'!$B$59:$M$69,MATCH(E51,'2024_budget'!$A$59:$A$69,0),MATCH(C51,'2024_budget'!$B$58:$M$58,0)),
2025,INDEX('2025_budget'!$B$59:$M$69,MATCH(E51,'2025_budget'!$A$59:$A$69,0),MATCH(C51,'2025_budget'!$B$58:$M$58,0)),
2026,INDEX('2026_budget'!$B$59:$M$69,MATCH(E51,'2026_budget'!$A$59:$A$69,0),MATCH(C51,'2026_budget'!$B$58:$M$58,0))
)</f>
        <v>212083.33333333334</v>
      </c>
      <c r="G51" s="13" cm="1">
        <f t="array" ref="G51">_xlfn.SWITCH(B51,
2024,INDEX('2024_actual'!$B$59:$M$69,MATCH(E51,'2024_actual'!$A$59:$A$69,0),MATCH(C51,'2024_actual'!$B$58:$M$58,0)),
2025,INDEX('2025_actual'!$B$59:$M$69,MATCH(E51,'2025_actual'!$A$59:$A$69,0),MATCH(C51,'2025_actual'!$B$58:$M$58,0)),
2026,INDEX('2026_actual'!$B$59:$M$69,MATCH(E51,'2026_actual'!$A$59:$A$69,0),MATCH(C51,'2026_actual'!$B$58:$M$58,0))
)</f>
        <v>211950</v>
      </c>
      <c r="H51" s="13">
        <f t="shared" si="11"/>
        <v>-133.33333333334303</v>
      </c>
      <c r="I51" s="10">
        <f t="shared" si="1"/>
        <v>-6.2868369351674511E-4</v>
      </c>
      <c r="J51" s="6" t="str">
        <f t="shared" si="12"/>
        <v>F</v>
      </c>
    </row>
    <row r="52" spans="1:10" x14ac:dyDescent="0.35">
      <c r="A52" s="26">
        <v>45444</v>
      </c>
      <c r="B52">
        <v>2024</v>
      </c>
      <c r="C52" t="s">
        <v>28</v>
      </c>
      <c r="D52" t="s">
        <v>12</v>
      </c>
      <c r="E52" t="s">
        <v>68</v>
      </c>
      <c r="F52" s="13" cm="1">
        <f t="array" ref="F52">_xlfn.SWITCH(B52,
2024,INDEX('2024_budget'!$B$59:$M$69,MATCH(E52,'2024_budget'!$A$59:$A$69,0),MATCH(C52,'2024_budget'!$B$58:$M$58,0)),
2025,INDEX('2025_budget'!$B$59:$M$69,MATCH(E52,'2025_budget'!$A$59:$A$69,0),MATCH(C52,'2025_budget'!$B$58:$M$58,0)),
2026,INDEX('2026_budget'!$B$59:$M$69,MATCH(E52,'2026_budget'!$A$59:$A$69,0),MATCH(C52,'2026_budget'!$B$58:$M$58,0))
)</f>
        <v>267500</v>
      </c>
      <c r="G52" s="13" cm="1">
        <f t="array" ref="G52">_xlfn.SWITCH(B52,
2024,INDEX('2024_actual'!$B$59:$M$69,MATCH(E52,'2024_actual'!$A$59:$A$69,0),MATCH(C52,'2024_actual'!$B$58:$M$58,0)),
2025,INDEX('2025_actual'!$B$59:$M$69,MATCH(E52,'2025_actual'!$A$59:$A$69,0),MATCH(C52,'2025_actual'!$B$58:$M$58,0)),
2026,INDEX('2026_actual'!$B$59:$M$69,MATCH(E52,'2026_actual'!$A$59:$A$69,0),MATCH(C52,'2026_actual'!$B$58:$M$58,0))
)</f>
        <v>265200</v>
      </c>
      <c r="H52" s="13">
        <f t="shared" si="11"/>
        <v>-2300</v>
      </c>
      <c r="I52" s="10">
        <f t="shared" si="1"/>
        <v>-8.5981308411214961E-3</v>
      </c>
      <c r="J52" s="6" t="str">
        <f t="shared" si="12"/>
        <v>F</v>
      </c>
    </row>
    <row r="53" spans="1:10" x14ac:dyDescent="0.35">
      <c r="A53" s="26">
        <v>45444</v>
      </c>
      <c r="B53">
        <v>2024</v>
      </c>
      <c r="C53" t="s">
        <v>28</v>
      </c>
      <c r="D53" t="s">
        <v>15</v>
      </c>
      <c r="E53" t="s">
        <v>69</v>
      </c>
      <c r="F53" s="13" cm="1">
        <f t="array" ref="F53">_xlfn.SWITCH(B53,
2024,INDEX('2024_budget'!$B$59:$M$69,MATCH(E53,'2024_budget'!$A$59:$A$69,0),MATCH(C53,'2024_budget'!$B$58:$M$58,0)),
2025,INDEX('2025_budget'!$B$59:$M$69,MATCH(E53,'2025_budget'!$A$59:$A$69,0),MATCH(C53,'2025_budget'!$B$58:$M$58,0)),
2026,INDEX('2026_budget'!$B$59:$M$69,MATCH(E53,'2026_budget'!$A$59:$A$69,0),MATCH(C53,'2026_budget'!$B$58:$M$58,0))
)</f>
        <v>314583.33333333331</v>
      </c>
      <c r="G53" s="13" cm="1">
        <f t="array" ref="G53">_xlfn.SWITCH(B53,
2024,INDEX('2024_actual'!$B$59:$M$69,MATCH(E53,'2024_actual'!$A$59:$A$69,0),MATCH(C53,'2024_actual'!$B$58:$M$58,0)),
2025,INDEX('2025_actual'!$B$59:$M$69,MATCH(E53,'2025_actual'!$A$59:$A$69,0),MATCH(C53,'2025_actual'!$B$58:$M$58,0)),
2026,INDEX('2026_actual'!$B$59:$M$69,MATCH(E53,'2026_actual'!$A$59:$A$69,0),MATCH(C53,'2026_actual'!$B$58:$M$58,0))
)</f>
        <v>314350</v>
      </c>
      <c r="H53" s="13">
        <f t="shared" si="11"/>
        <v>-233.33333333331393</v>
      </c>
      <c r="I53" s="10">
        <f t="shared" si="1"/>
        <v>-7.4172185430457411E-4</v>
      </c>
      <c r="J53" s="6" t="str">
        <f t="shared" si="12"/>
        <v>F</v>
      </c>
    </row>
    <row r="54" spans="1:10" x14ac:dyDescent="0.35">
      <c r="A54" s="26">
        <v>45444</v>
      </c>
      <c r="B54">
        <v>2024</v>
      </c>
      <c r="C54" t="s">
        <v>28</v>
      </c>
      <c r="D54" t="s">
        <v>146</v>
      </c>
      <c r="E54" t="s">
        <v>70</v>
      </c>
      <c r="F54" s="13" cm="1">
        <f t="array" ref="F54">_xlfn.SWITCH(B54,
2024,INDEX('2024_budget'!$B$59:$M$69,MATCH(E54,'2024_budget'!$A$59:$A$69,0),MATCH(C54,'2024_budget'!$B$58:$M$58,0)),
2025,INDEX('2025_budget'!$B$59:$M$69,MATCH(E54,'2025_budget'!$A$59:$A$69,0),MATCH(C54,'2025_budget'!$B$58:$M$58,0)),
2026,INDEX('2026_budget'!$B$59:$M$69,MATCH(E54,'2026_budget'!$A$59:$A$69,0),MATCH(C54,'2026_budget'!$B$58:$M$58,0))
)</f>
        <v>2949000</v>
      </c>
      <c r="G54" s="13" cm="1">
        <f t="array" ref="G54">_xlfn.SWITCH(B54,
2024,INDEX('2024_actual'!$B$59:$M$69,MATCH(E54,'2024_actual'!$A$59:$A$69,0),MATCH(C54,'2024_actual'!$B$58:$M$58,0)),
2025,INDEX('2025_actual'!$B$59:$M$69,MATCH(E54,'2025_actual'!$A$59:$A$69,0),MATCH(C54,'2025_actual'!$B$58:$M$58,0)),
2026,INDEX('2026_actual'!$B$59:$M$69,MATCH(E54,'2026_actual'!$A$59:$A$69,0),MATCH(C54,'2026_actual'!$B$58:$M$58,0))
)</f>
        <v>2963100</v>
      </c>
      <c r="H54" s="13">
        <f t="shared" si="11"/>
        <v>14100</v>
      </c>
      <c r="I54" s="10">
        <f t="shared" si="1"/>
        <v>4.7812817904374361E-3</v>
      </c>
      <c r="J54" s="6" t="str">
        <f t="shared" si="12"/>
        <v>U</v>
      </c>
    </row>
    <row r="55" spans="1:10" x14ac:dyDescent="0.35">
      <c r="A55" s="26">
        <v>45444</v>
      </c>
      <c r="B55">
        <v>2024</v>
      </c>
      <c r="C55" t="s">
        <v>28</v>
      </c>
      <c r="D55" t="s">
        <v>146</v>
      </c>
      <c r="E55" t="s">
        <v>71</v>
      </c>
      <c r="F55" s="13" cm="1">
        <f t="array" ref="F55">_xlfn.SWITCH(B55,
2024,INDEX('2024_budget'!$B$59:$M$69,MATCH(E55,'2024_budget'!$A$59:$A$69,0),MATCH(C55,'2024_budget'!$B$58:$M$58,0)),
2025,INDEX('2025_budget'!$B$59:$M$69,MATCH(E55,'2025_budget'!$A$59:$A$69,0),MATCH(C55,'2025_budget'!$B$58:$M$58,0)),
2026,INDEX('2026_budget'!$B$59:$M$69,MATCH(E55,'2026_budget'!$A$59:$A$69,0),MATCH(C55,'2026_budget'!$B$58:$M$58,0))
)</f>
        <v>251000</v>
      </c>
      <c r="G55" s="13" cm="1">
        <f t="array" ref="G55">_xlfn.SWITCH(B55,
2024,INDEX('2024_actual'!$B$59:$M$69,MATCH(E55,'2024_actual'!$A$59:$A$69,0),MATCH(C55,'2024_actual'!$B$58:$M$58,0)),
2025,INDEX('2025_actual'!$B$59:$M$69,MATCH(E55,'2025_actual'!$A$59:$A$69,0),MATCH(C55,'2025_actual'!$B$58:$M$58,0)),
2026,INDEX('2026_actual'!$B$59:$M$69,MATCH(E55,'2026_actual'!$A$59:$A$69,0),MATCH(C55,'2026_actual'!$B$58:$M$58,0))
)</f>
        <v>171900</v>
      </c>
      <c r="H55" s="13">
        <f t="shared" si="11"/>
        <v>-79100</v>
      </c>
      <c r="I55" s="10">
        <f t="shared" si="1"/>
        <v>-0.31513944223107571</v>
      </c>
      <c r="J55" s="6" t="str">
        <f>IF(G55&gt;=F55,"F","U")</f>
        <v>U</v>
      </c>
    </row>
    <row r="56" spans="1:10" x14ac:dyDescent="0.35">
      <c r="A56" s="26">
        <v>45474</v>
      </c>
      <c r="B56">
        <v>2024</v>
      </c>
      <c r="C56" t="s">
        <v>29</v>
      </c>
      <c r="D56" t="s">
        <v>146</v>
      </c>
      <c r="E56" t="s">
        <v>6</v>
      </c>
      <c r="F56" s="13" cm="1">
        <f t="array" ref="F56">_xlfn.SWITCH(B56,
2024,INDEX('2024_budget'!$B$59:$M$69,MATCH(E56,'2024_budget'!$A$59:$A$69,0),MATCH(C56,'2024_budget'!$B$58:$M$58,0)),
2025,INDEX('2025_budget'!$B$59:$M$69,MATCH(E56,'2025_budget'!$A$59:$A$69,0),MATCH(C56,'2025_budget'!$B$58:$M$58,0)),
2026,INDEX('2026_budget'!$B$59:$M$69,MATCH(E56,'2026_budget'!$A$59:$A$69,0),MATCH(C56,'2026_budget'!$B$58:$M$58,0))
)</f>
        <v>3200000</v>
      </c>
      <c r="G56" s="13" cm="1">
        <f t="array" ref="G56">_xlfn.SWITCH(B56,
2024,INDEX('2024_actual'!$B$59:$M$69,MATCH(E56,'2024_actual'!$A$59:$A$69,0),MATCH(C56,'2024_actual'!$B$58:$M$58,0)),
2025,INDEX('2025_actual'!$B$59:$M$69,MATCH(E56,'2025_actual'!$A$59:$A$69,0),MATCH(C56,'2025_actual'!$B$58:$M$58,0)),
2026,INDEX('2026_actual'!$B$59:$M$69,MATCH(E56,'2026_actual'!$A$59:$A$69,0),MATCH(C56,'2026_actual'!$B$58:$M$58,0))
)</f>
        <v>3160000</v>
      </c>
      <c r="H56" s="13">
        <f>G56-F56</f>
        <v>-40000</v>
      </c>
      <c r="I56" s="10">
        <f t="shared" si="1"/>
        <v>-1.2500000000000001E-2</v>
      </c>
      <c r="J56" s="6" t="str">
        <f>IF(G56&gt;=F56,"F","U")</f>
        <v>U</v>
      </c>
    </row>
    <row r="57" spans="1:10" x14ac:dyDescent="0.35">
      <c r="A57" s="26">
        <v>45474</v>
      </c>
      <c r="B57">
        <v>2024</v>
      </c>
      <c r="C57" t="s">
        <v>29</v>
      </c>
      <c r="D57" t="s">
        <v>11</v>
      </c>
      <c r="E57" t="s">
        <v>64</v>
      </c>
      <c r="F57" s="13" cm="1">
        <f t="array" ref="F57">_xlfn.SWITCH(B57,
2024,INDEX('2024_budget'!$B$59:$M$69,MATCH(E57,'2024_budget'!$A$59:$A$69,0),MATCH(C57,'2024_budget'!$B$58:$M$58,0)),
2025,INDEX('2025_budget'!$B$59:$M$69,MATCH(E57,'2025_budget'!$A$59:$A$69,0),MATCH(C57,'2025_budget'!$B$58:$M$58,0)),
2026,INDEX('2026_budget'!$B$59:$M$69,MATCH(E57,'2026_budget'!$A$59:$A$69,0),MATCH(C57,'2026_budget'!$B$58:$M$58,0))
)</f>
        <v>673166.66666666663</v>
      </c>
      <c r="G57" s="13" cm="1">
        <f t="array" ref="G57">_xlfn.SWITCH(B57,
2024,INDEX('2024_actual'!$B$59:$M$69,MATCH(E57,'2024_actual'!$A$59:$A$69,0),MATCH(C57,'2024_actual'!$B$58:$M$58,0)),
2025,INDEX('2025_actual'!$B$59:$M$69,MATCH(E57,'2025_actual'!$A$59:$A$69,0),MATCH(C57,'2025_actual'!$B$58:$M$58,0)),
2026,INDEX('2026_actual'!$B$59:$M$69,MATCH(E57,'2026_actual'!$A$59:$A$69,0),MATCH(C57,'2026_actual'!$B$58:$M$58,0))
)</f>
        <v>663000</v>
      </c>
      <c r="H57" s="13">
        <f t="shared" ref="H57:H64" si="13">G57-F57</f>
        <v>-10166.666666666628</v>
      </c>
      <c r="I57" s="10">
        <f t="shared" si="1"/>
        <v>-1.5102748205001182E-2</v>
      </c>
      <c r="J57" s="6" t="str">
        <f>IF(G57&lt;=F57,"F","U")</f>
        <v>F</v>
      </c>
    </row>
    <row r="58" spans="1:10" x14ac:dyDescent="0.35">
      <c r="A58" s="26">
        <v>45474</v>
      </c>
      <c r="B58">
        <v>2024</v>
      </c>
      <c r="C58" t="s">
        <v>29</v>
      </c>
      <c r="D58" t="s">
        <v>13</v>
      </c>
      <c r="E58" t="s">
        <v>65</v>
      </c>
      <c r="F58" s="13" cm="1">
        <f t="array" ref="F58">_xlfn.SWITCH(B58,
2024,INDEX('2024_budget'!$B$59:$M$69,MATCH(E58,'2024_budget'!$A$59:$A$69,0),MATCH(C58,'2024_budget'!$B$58:$M$58,0)),
2025,INDEX('2025_budget'!$B$59:$M$69,MATCH(E58,'2025_budget'!$A$59:$A$69,0),MATCH(C58,'2025_budget'!$B$58:$M$58,0)),
2026,INDEX('2026_budget'!$B$59:$M$69,MATCH(E58,'2026_budget'!$A$59:$A$69,0),MATCH(C58,'2026_budget'!$B$58:$M$58,0))
)</f>
        <v>391166.66666666669</v>
      </c>
      <c r="G58" s="13" cm="1">
        <f t="array" ref="G58">_xlfn.SWITCH(B58,
2024,INDEX('2024_actual'!$B$59:$M$69,MATCH(E58,'2024_actual'!$A$59:$A$69,0),MATCH(C58,'2024_actual'!$B$58:$M$58,0)),
2025,INDEX('2025_actual'!$B$59:$M$69,MATCH(E58,'2025_actual'!$A$59:$A$69,0),MATCH(C58,'2025_actual'!$B$58:$M$58,0)),
2026,INDEX('2026_actual'!$B$59:$M$69,MATCH(E58,'2026_actual'!$A$59:$A$69,0),MATCH(C58,'2026_actual'!$B$58:$M$58,0))
)</f>
        <v>414800</v>
      </c>
      <c r="H58" s="13">
        <f t="shared" si="13"/>
        <v>23633.333333333314</v>
      </c>
      <c r="I58" s="10">
        <f t="shared" si="1"/>
        <v>6.0417554324669741E-2</v>
      </c>
      <c r="J58" s="6" t="str">
        <f t="shared" ref="J58:J63" si="14">IF(G58&lt;=F58,"F","U")</f>
        <v>U</v>
      </c>
    </row>
    <row r="59" spans="1:10" x14ac:dyDescent="0.35">
      <c r="A59" s="26">
        <v>45474</v>
      </c>
      <c r="B59">
        <v>2024</v>
      </c>
      <c r="C59" t="s">
        <v>29</v>
      </c>
      <c r="D59" t="s">
        <v>10</v>
      </c>
      <c r="E59" t="s">
        <v>66</v>
      </c>
      <c r="F59" s="13" cm="1">
        <f t="array" ref="F59">_xlfn.SWITCH(B59,
2024,INDEX('2024_budget'!$B$59:$M$69,MATCH(E59,'2024_budget'!$A$59:$A$69,0),MATCH(C59,'2024_budget'!$B$58:$M$58,0)),
2025,INDEX('2025_budget'!$B$59:$M$69,MATCH(E59,'2025_budget'!$A$59:$A$69,0),MATCH(C59,'2025_budget'!$B$58:$M$58,0)),
2026,INDEX('2026_budget'!$B$59:$M$69,MATCH(E59,'2026_budget'!$A$59:$A$69,0),MATCH(C59,'2026_budget'!$B$58:$M$58,0))
)</f>
        <v>1090500</v>
      </c>
      <c r="G59" s="13" cm="1">
        <f t="array" ref="G59">_xlfn.SWITCH(B59,
2024,INDEX('2024_actual'!$B$59:$M$69,MATCH(E59,'2024_actual'!$A$59:$A$69,0),MATCH(C59,'2024_actual'!$B$58:$M$58,0)),
2025,INDEX('2025_actual'!$B$59:$M$69,MATCH(E59,'2025_actual'!$A$59:$A$69,0),MATCH(C59,'2025_actual'!$B$58:$M$58,0)),
2026,INDEX('2026_actual'!$B$59:$M$69,MATCH(E59,'2026_actual'!$A$59:$A$69,0),MATCH(C59,'2026_actual'!$B$58:$M$58,0))
)</f>
        <v>1110000</v>
      </c>
      <c r="H59" s="13">
        <f t="shared" si="13"/>
        <v>19500</v>
      </c>
      <c r="I59" s="10">
        <f t="shared" si="1"/>
        <v>1.7881705639614855E-2</v>
      </c>
      <c r="J59" s="6" t="str">
        <f t="shared" si="14"/>
        <v>U</v>
      </c>
    </row>
    <row r="60" spans="1:10" x14ac:dyDescent="0.35">
      <c r="A60" s="26">
        <v>45474</v>
      </c>
      <c r="B60">
        <v>2024</v>
      </c>
      <c r="C60" t="s">
        <v>29</v>
      </c>
      <c r="D60" t="s">
        <v>14</v>
      </c>
      <c r="E60" t="s">
        <v>67</v>
      </c>
      <c r="F60" s="13" cm="1">
        <f t="array" ref="F60">_xlfn.SWITCH(B60,
2024,INDEX('2024_budget'!$B$59:$M$69,MATCH(E60,'2024_budget'!$A$59:$A$69,0),MATCH(C60,'2024_budget'!$B$58:$M$58,0)),
2025,INDEX('2025_budget'!$B$59:$M$69,MATCH(E60,'2025_budget'!$A$59:$A$69,0),MATCH(C60,'2025_budget'!$B$58:$M$58,0)),
2026,INDEX('2026_budget'!$B$59:$M$69,MATCH(E60,'2026_budget'!$A$59:$A$69,0),MATCH(C60,'2026_budget'!$B$58:$M$58,0))
)</f>
        <v>212083.33333333334</v>
      </c>
      <c r="G60" s="13" cm="1">
        <f t="array" ref="G60">_xlfn.SWITCH(B60,
2024,INDEX('2024_actual'!$B$59:$M$69,MATCH(E60,'2024_actual'!$A$59:$A$69,0),MATCH(C60,'2024_actual'!$B$58:$M$58,0)),
2025,INDEX('2025_actual'!$B$59:$M$69,MATCH(E60,'2025_actual'!$A$59:$A$69,0),MATCH(C60,'2025_actual'!$B$58:$M$58,0)),
2026,INDEX('2026_actual'!$B$59:$M$69,MATCH(E60,'2026_actual'!$A$59:$A$69,0),MATCH(C60,'2026_actual'!$B$58:$M$58,0))
)</f>
        <v>212950</v>
      </c>
      <c r="H60" s="13">
        <f t="shared" si="13"/>
        <v>866.66666666665697</v>
      </c>
      <c r="I60" s="10">
        <f t="shared" si="1"/>
        <v>4.0864440078585001E-3</v>
      </c>
      <c r="J60" s="6" t="str">
        <f t="shared" si="14"/>
        <v>U</v>
      </c>
    </row>
    <row r="61" spans="1:10" x14ac:dyDescent="0.35">
      <c r="A61" s="26">
        <v>45474</v>
      </c>
      <c r="B61">
        <v>2024</v>
      </c>
      <c r="C61" t="s">
        <v>29</v>
      </c>
      <c r="D61" t="s">
        <v>12</v>
      </c>
      <c r="E61" t="s">
        <v>68</v>
      </c>
      <c r="F61" s="13" cm="1">
        <f t="array" ref="F61">_xlfn.SWITCH(B61,
2024,INDEX('2024_budget'!$B$59:$M$69,MATCH(E61,'2024_budget'!$A$59:$A$69,0),MATCH(C61,'2024_budget'!$B$58:$M$58,0)),
2025,INDEX('2025_budget'!$B$59:$M$69,MATCH(E61,'2025_budget'!$A$59:$A$69,0),MATCH(C61,'2025_budget'!$B$58:$M$58,0)),
2026,INDEX('2026_budget'!$B$59:$M$69,MATCH(E61,'2026_budget'!$A$59:$A$69,0),MATCH(C61,'2026_budget'!$B$58:$M$58,0))
)</f>
        <v>267500</v>
      </c>
      <c r="G61" s="13" cm="1">
        <f t="array" ref="G61">_xlfn.SWITCH(B61,
2024,INDEX('2024_actual'!$B$59:$M$69,MATCH(E61,'2024_actual'!$A$59:$A$69,0),MATCH(C61,'2024_actual'!$B$58:$M$58,0)),
2025,INDEX('2025_actual'!$B$59:$M$69,MATCH(E61,'2025_actual'!$A$59:$A$69,0),MATCH(C61,'2025_actual'!$B$58:$M$58,0)),
2026,INDEX('2026_actual'!$B$59:$M$69,MATCH(E61,'2026_actual'!$A$59:$A$69,0),MATCH(C61,'2026_actual'!$B$58:$M$58,0))
)</f>
        <v>266900</v>
      </c>
      <c r="H61" s="13">
        <f t="shared" si="13"/>
        <v>-600</v>
      </c>
      <c r="I61" s="10">
        <f t="shared" si="1"/>
        <v>-2.2429906542056075E-3</v>
      </c>
      <c r="J61" s="6" t="str">
        <f t="shared" si="14"/>
        <v>F</v>
      </c>
    </row>
    <row r="62" spans="1:10" x14ac:dyDescent="0.35">
      <c r="A62" s="26">
        <v>45474</v>
      </c>
      <c r="B62">
        <v>2024</v>
      </c>
      <c r="C62" t="s">
        <v>29</v>
      </c>
      <c r="D62" t="s">
        <v>15</v>
      </c>
      <c r="E62" t="s">
        <v>69</v>
      </c>
      <c r="F62" s="13" cm="1">
        <f t="array" ref="F62">_xlfn.SWITCH(B62,
2024,INDEX('2024_budget'!$B$59:$M$69,MATCH(E62,'2024_budget'!$A$59:$A$69,0),MATCH(C62,'2024_budget'!$B$58:$M$58,0)),
2025,INDEX('2025_budget'!$B$59:$M$69,MATCH(E62,'2025_budget'!$A$59:$A$69,0),MATCH(C62,'2025_budget'!$B$58:$M$58,0)),
2026,INDEX('2026_budget'!$B$59:$M$69,MATCH(E62,'2026_budget'!$A$59:$A$69,0),MATCH(C62,'2026_budget'!$B$58:$M$58,0))
)</f>
        <v>314583.33333333331</v>
      </c>
      <c r="G62" s="13" cm="1">
        <f t="array" ref="G62">_xlfn.SWITCH(B62,
2024,INDEX('2024_actual'!$B$59:$M$69,MATCH(E62,'2024_actual'!$A$59:$A$69,0),MATCH(C62,'2024_actual'!$B$58:$M$58,0)),
2025,INDEX('2025_actual'!$B$59:$M$69,MATCH(E62,'2025_actual'!$A$59:$A$69,0),MATCH(C62,'2025_actual'!$B$58:$M$58,0)),
2026,INDEX('2026_actual'!$B$59:$M$69,MATCH(E62,'2026_actual'!$A$59:$A$69,0),MATCH(C62,'2026_actual'!$B$58:$M$58,0))
)</f>
        <v>316550</v>
      </c>
      <c r="H62" s="13">
        <f t="shared" si="13"/>
        <v>1966.6666666666861</v>
      </c>
      <c r="I62" s="10">
        <f t="shared" si="1"/>
        <v>6.2516556291391349E-3</v>
      </c>
      <c r="J62" s="6" t="str">
        <f t="shared" si="14"/>
        <v>U</v>
      </c>
    </row>
    <row r="63" spans="1:10" x14ac:dyDescent="0.35">
      <c r="A63" s="26">
        <v>45474</v>
      </c>
      <c r="B63">
        <v>2024</v>
      </c>
      <c r="C63" t="s">
        <v>29</v>
      </c>
      <c r="D63" t="s">
        <v>146</v>
      </c>
      <c r="E63" t="s">
        <v>70</v>
      </c>
      <c r="F63" s="13" cm="1">
        <f t="array" ref="F63">_xlfn.SWITCH(B63,
2024,INDEX('2024_budget'!$B$59:$M$69,MATCH(E63,'2024_budget'!$A$59:$A$69,0),MATCH(C63,'2024_budget'!$B$58:$M$58,0)),
2025,INDEX('2025_budget'!$B$59:$M$69,MATCH(E63,'2025_budget'!$A$59:$A$69,0),MATCH(C63,'2025_budget'!$B$58:$M$58,0)),
2026,INDEX('2026_budget'!$B$59:$M$69,MATCH(E63,'2026_budget'!$A$59:$A$69,0),MATCH(C63,'2026_budget'!$B$58:$M$58,0))
)</f>
        <v>2949000</v>
      </c>
      <c r="G63" s="13" cm="1">
        <f t="array" ref="G63">_xlfn.SWITCH(B63,
2024,INDEX('2024_actual'!$B$59:$M$69,MATCH(E63,'2024_actual'!$A$59:$A$69,0),MATCH(C63,'2024_actual'!$B$58:$M$58,0)),
2025,INDEX('2025_actual'!$B$59:$M$69,MATCH(E63,'2025_actual'!$A$59:$A$69,0),MATCH(C63,'2025_actual'!$B$58:$M$58,0)),
2026,INDEX('2026_actual'!$B$59:$M$69,MATCH(E63,'2026_actual'!$A$59:$A$69,0),MATCH(C63,'2026_actual'!$B$58:$M$58,0))
)</f>
        <v>2984200</v>
      </c>
      <c r="H63" s="13">
        <f t="shared" si="13"/>
        <v>35200</v>
      </c>
      <c r="I63" s="10">
        <f t="shared" si="1"/>
        <v>1.1936249576127501E-2</v>
      </c>
      <c r="J63" s="6" t="str">
        <f t="shared" si="14"/>
        <v>U</v>
      </c>
    </row>
    <row r="64" spans="1:10" x14ac:dyDescent="0.35">
      <c r="A64" s="26">
        <v>45474</v>
      </c>
      <c r="B64">
        <v>2024</v>
      </c>
      <c r="C64" t="s">
        <v>29</v>
      </c>
      <c r="D64" t="s">
        <v>146</v>
      </c>
      <c r="E64" t="s">
        <v>71</v>
      </c>
      <c r="F64" s="13" cm="1">
        <f t="array" ref="F64">_xlfn.SWITCH(B64,
2024,INDEX('2024_budget'!$B$59:$M$69,MATCH(E64,'2024_budget'!$A$59:$A$69,0),MATCH(C64,'2024_budget'!$B$58:$M$58,0)),
2025,INDEX('2025_budget'!$B$59:$M$69,MATCH(E64,'2025_budget'!$A$59:$A$69,0),MATCH(C64,'2025_budget'!$B$58:$M$58,0)),
2026,INDEX('2026_budget'!$B$59:$M$69,MATCH(E64,'2026_budget'!$A$59:$A$69,0),MATCH(C64,'2026_budget'!$B$58:$M$58,0))
)</f>
        <v>251000</v>
      </c>
      <c r="G64" s="13" cm="1">
        <f t="array" ref="G64">_xlfn.SWITCH(B64,
2024,INDEX('2024_actual'!$B$59:$M$69,MATCH(E64,'2024_actual'!$A$59:$A$69,0),MATCH(C64,'2024_actual'!$B$58:$M$58,0)),
2025,INDEX('2025_actual'!$B$59:$M$69,MATCH(E64,'2025_actual'!$A$59:$A$69,0),MATCH(C64,'2025_actual'!$B$58:$M$58,0)),
2026,INDEX('2026_actual'!$B$59:$M$69,MATCH(E64,'2026_actual'!$A$59:$A$69,0),MATCH(C64,'2026_actual'!$B$58:$M$58,0))
)</f>
        <v>175800</v>
      </c>
      <c r="H64" s="13">
        <f t="shared" si="13"/>
        <v>-75200</v>
      </c>
      <c r="I64" s="10">
        <f t="shared" si="1"/>
        <v>-0.29960159362549799</v>
      </c>
      <c r="J64" s="6" t="str">
        <f>IF(G64&gt;=F64,"F","U")</f>
        <v>U</v>
      </c>
    </row>
    <row r="65" spans="1:10" x14ac:dyDescent="0.35">
      <c r="A65" s="26">
        <v>45505</v>
      </c>
      <c r="B65">
        <v>2024</v>
      </c>
      <c r="C65" t="s">
        <v>30</v>
      </c>
      <c r="D65" t="s">
        <v>146</v>
      </c>
      <c r="E65" t="s">
        <v>6</v>
      </c>
      <c r="F65" s="13" cm="1">
        <f t="array" ref="F65">_xlfn.SWITCH(B65,
2024,INDEX('2024_budget'!$B$59:$M$69,MATCH(E65,'2024_budget'!$A$59:$A$69,0),MATCH(C65,'2024_budget'!$B$58:$M$58,0)),
2025,INDEX('2025_budget'!$B$59:$M$69,MATCH(E65,'2025_budget'!$A$59:$A$69,0),MATCH(C65,'2025_budget'!$B$58:$M$58,0)),
2026,INDEX('2026_budget'!$B$59:$M$69,MATCH(E65,'2026_budget'!$A$59:$A$69,0),MATCH(C65,'2026_budget'!$B$58:$M$58,0))
)</f>
        <v>3200000</v>
      </c>
      <c r="G65" s="13" cm="1">
        <f t="array" ref="G65">_xlfn.SWITCH(B65,
2024,INDEX('2024_actual'!$B$59:$M$69,MATCH(E65,'2024_actual'!$A$59:$A$69,0),MATCH(C65,'2024_actual'!$B$58:$M$58,0)),
2025,INDEX('2025_actual'!$B$59:$M$69,MATCH(E65,'2025_actual'!$A$59:$A$69,0),MATCH(C65,'2025_actual'!$B$58:$M$58,0)),
2026,INDEX('2026_actual'!$B$59:$M$69,MATCH(E65,'2026_actual'!$A$59:$A$69,0),MATCH(C65,'2026_actual'!$B$58:$M$58,0))
)</f>
        <v>3195000</v>
      </c>
      <c r="H65" s="13">
        <f>G65-F65</f>
        <v>-5000</v>
      </c>
      <c r="I65" s="10">
        <f t="shared" si="1"/>
        <v>-1.5625000000000001E-3</v>
      </c>
      <c r="J65" s="6" t="str">
        <f>IF(G65&gt;=F65,"F","U")</f>
        <v>U</v>
      </c>
    </row>
    <row r="66" spans="1:10" x14ac:dyDescent="0.35">
      <c r="A66" s="26">
        <v>45505</v>
      </c>
      <c r="B66">
        <v>2024</v>
      </c>
      <c r="C66" t="s">
        <v>30</v>
      </c>
      <c r="D66" t="s">
        <v>11</v>
      </c>
      <c r="E66" t="s">
        <v>64</v>
      </c>
      <c r="F66" s="13" cm="1">
        <f t="array" ref="F66">_xlfn.SWITCH(B66,
2024,INDEX('2024_budget'!$B$59:$M$69,MATCH(E66,'2024_budget'!$A$59:$A$69,0),MATCH(C66,'2024_budget'!$B$58:$M$58,0)),
2025,INDEX('2025_budget'!$B$59:$M$69,MATCH(E66,'2025_budget'!$A$59:$A$69,0),MATCH(C66,'2025_budget'!$B$58:$M$58,0)),
2026,INDEX('2026_budget'!$B$59:$M$69,MATCH(E66,'2026_budget'!$A$59:$A$69,0),MATCH(C66,'2026_budget'!$B$58:$M$58,0))
)</f>
        <v>673166.66666666663</v>
      </c>
      <c r="G66" s="13" cm="1">
        <f t="array" ref="G66">_xlfn.SWITCH(B66,
2024,INDEX('2024_actual'!$B$59:$M$69,MATCH(E66,'2024_actual'!$A$59:$A$69,0),MATCH(C66,'2024_actual'!$B$58:$M$58,0)),
2025,INDEX('2025_actual'!$B$59:$M$69,MATCH(E66,'2025_actual'!$A$59:$A$69,0),MATCH(C66,'2025_actual'!$B$58:$M$58,0)),
2026,INDEX('2026_actual'!$B$59:$M$69,MATCH(E66,'2026_actual'!$A$59:$A$69,0),MATCH(C66,'2026_actual'!$B$58:$M$58,0))
)</f>
        <v>664500</v>
      </c>
      <c r="H66" s="13">
        <f t="shared" ref="H66:H73" si="15">G66-F66</f>
        <v>-8666.6666666666279</v>
      </c>
      <c r="I66" s="10">
        <f t="shared" si="1"/>
        <v>-1.287447387967313E-2</v>
      </c>
      <c r="J66" s="6" t="str">
        <f>IF(G66&lt;=F66,"F","U")</f>
        <v>F</v>
      </c>
    </row>
    <row r="67" spans="1:10" x14ac:dyDescent="0.35">
      <c r="A67" s="26">
        <v>45505</v>
      </c>
      <c r="B67">
        <v>2024</v>
      </c>
      <c r="C67" t="s">
        <v>30</v>
      </c>
      <c r="D67" t="s">
        <v>13</v>
      </c>
      <c r="E67" t="s">
        <v>65</v>
      </c>
      <c r="F67" s="13" cm="1">
        <f t="array" ref="F67">_xlfn.SWITCH(B67,
2024,INDEX('2024_budget'!$B$59:$M$69,MATCH(E67,'2024_budget'!$A$59:$A$69,0),MATCH(C67,'2024_budget'!$B$58:$M$58,0)),
2025,INDEX('2025_budget'!$B$59:$M$69,MATCH(E67,'2025_budget'!$A$59:$A$69,0),MATCH(C67,'2025_budget'!$B$58:$M$58,0)),
2026,INDEX('2026_budget'!$B$59:$M$69,MATCH(E67,'2026_budget'!$A$59:$A$69,0),MATCH(C67,'2026_budget'!$B$58:$M$58,0))
)</f>
        <v>391166.66666666669</v>
      </c>
      <c r="G67" s="13" cm="1">
        <f t="array" ref="G67">_xlfn.SWITCH(B67,
2024,INDEX('2024_actual'!$B$59:$M$69,MATCH(E67,'2024_actual'!$A$59:$A$69,0),MATCH(C67,'2024_actual'!$B$58:$M$58,0)),
2025,INDEX('2025_actual'!$B$59:$M$69,MATCH(E67,'2025_actual'!$A$59:$A$69,0),MATCH(C67,'2025_actual'!$B$58:$M$58,0)),
2026,INDEX('2026_actual'!$B$59:$M$69,MATCH(E67,'2026_actual'!$A$59:$A$69,0),MATCH(C67,'2026_actual'!$B$58:$M$58,0))
)</f>
        <v>420300</v>
      </c>
      <c r="H67" s="13">
        <f t="shared" si="15"/>
        <v>29133.333333333314</v>
      </c>
      <c r="I67" s="10">
        <f t="shared" ref="I67:I130" si="16">IF(AND(E67="Operating Profit",F67&lt;=0),NA(),IFERROR(H67/F67,0))</f>
        <v>7.4478057094162706E-2</v>
      </c>
      <c r="J67" s="6" t="str">
        <f t="shared" ref="J67:J72" si="17">IF(G67&lt;=F67,"F","U")</f>
        <v>U</v>
      </c>
    </row>
    <row r="68" spans="1:10" x14ac:dyDescent="0.35">
      <c r="A68" s="26">
        <v>45505</v>
      </c>
      <c r="B68">
        <v>2024</v>
      </c>
      <c r="C68" t="s">
        <v>30</v>
      </c>
      <c r="D68" t="s">
        <v>10</v>
      </c>
      <c r="E68" t="s">
        <v>66</v>
      </c>
      <c r="F68" s="13" cm="1">
        <f t="array" ref="F68">_xlfn.SWITCH(B68,
2024,INDEX('2024_budget'!$B$59:$M$69,MATCH(E68,'2024_budget'!$A$59:$A$69,0),MATCH(C68,'2024_budget'!$B$58:$M$58,0)),
2025,INDEX('2025_budget'!$B$59:$M$69,MATCH(E68,'2025_budget'!$A$59:$A$69,0),MATCH(C68,'2025_budget'!$B$58:$M$58,0)),
2026,INDEX('2026_budget'!$B$59:$M$69,MATCH(E68,'2026_budget'!$A$59:$A$69,0),MATCH(C68,'2026_budget'!$B$58:$M$58,0))
)</f>
        <v>1090500</v>
      </c>
      <c r="G68" s="13" cm="1">
        <f t="array" ref="G68">_xlfn.SWITCH(B68,
2024,INDEX('2024_actual'!$B$59:$M$69,MATCH(E68,'2024_actual'!$A$59:$A$69,0),MATCH(C68,'2024_actual'!$B$58:$M$58,0)),
2025,INDEX('2025_actual'!$B$59:$M$69,MATCH(E68,'2025_actual'!$A$59:$A$69,0),MATCH(C68,'2025_actual'!$B$58:$M$58,0)),
2026,INDEX('2026_actual'!$B$59:$M$69,MATCH(E68,'2026_actual'!$A$59:$A$69,0),MATCH(C68,'2026_actual'!$B$58:$M$58,0))
)</f>
        <v>1113000</v>
      </c>
      <c r="H68" s="13">
        <f t="shared" si="15"/>
        <v>22500</v>
      </c>
      <c r="I68" s="10">
        <f t="shared" si="16"/>
        <v>2.0632737276478678E-2</v>
      </c>
      <c r="J68" s="6" t="str">
        <f t="shared" si="17"/>
        <v>U</v>
      </c>
    </row>
    <row r="69" spans="1:10" x14ac:dyDescent="0.35">
      <c r="A69" s="26">
        <v>45505</v>
      </c>
      <c r="B69">
        <v>2024</v>
      </c>
      <c r="C69" t="s">
        <v>30</v>
      </c>
      <c r="D69" t="s">
        <v>14</v>
      </c>
      <c r="E69" t="s">
        <v>67</v>
      </c>
      <c r="F69" s="13" cm="1">
        <f t="array" ref="F69">_xlfn.SWITCH(B69,
2024,INDEX('2024_budget'!$B$59:$M$69,MATCH(E69,'2024_budget'!$A$59:$A$69,0),MATCH(C69,'2024_budget'!$B$58:$M$58,0)),
2025,INDEX('2025_budget'!$B$59:$M$69,MATCH(E69,'2025_budget'!$A$59:$A$69,0),MATCH(C69,'2025_budget'!$B$58:$M$58,0)),
2026,INDEX('2026_budget'!$B$59:$M$69,MATCH(E69,'2026_budget'!$A$59:$A$69,0),MATCH(C69,'2026_budget'!$B$58:$M$58,0))
)</f>
        <v>212083.33333333334</v>
      </c>
      <c r="G69" s="13" cm="1">
        <f t="array" ref="G69">_xlfn.SWITCH(B69,
2024,INDEX('2024_actual'!$B$59:$M$69,MATCH(E69,'2024_actual'!$A$59:$A$69,0),MATCH(C69,'2024_actual'!$B$58:$M$58,0)),
2025,INDEX('2025_actual'!$B$59:$M$69,MATCH(E69,'2025_actual'!$A$59:$A$69,0),MATCH(C69,'2025_actual'!$B$58:$M$58,0)),
2026,INDEX('2026_actual'!$B$59:$M$69,MATCH(E69,'2026_actual'!$A$59:$A$69,0),MATCH(C69,'2026_actual'!$B$58:$M$58,0))
)</f>
        <v>212950</v>
      </c>
      <c r="H69" s="13">
        <f t="shared" si="15"/>
        <v>866.66666666665697</v>
      </c>
      <c r="I69" s="10">
        <f t="shared" si="16"/>
        <v>4.0864440078585001E-3</v>
      </c>
      <c r="J69" s="6" t="str">
        <f t="shared" si="17"/>
        <v>U</v>
      </c>
    </row>
    <row r="70" spans="1:10" x14ac:dyDescent="0.35">
      <c r="A70" s="26">
        <v>45505</v>
      </c>
      <c r="B70">
        <v>2024</v>
      </c>
      <c r="C70" t="s">
        <v>30</v>
      </c>
      <c r="D70" t="s">
        <v>12</v>
      </c>
      <c r="E70" t="s">
        <v>68</v>
      </c>
      <c r="F70" s="13" cm="1">
        <f t="array" ref="F70">_xlfn.SWITCH(B70,
2024,INDEX('2024_budget'!$B$59:$M$69,MATCH(E70,'2024_budget'!$A$59:$A$69,0),MATCH(C70,'2024_budget'!$B$58:$M$58,0)),
2025,INDEX('2025_budget'!$B$59:$M$69,MATCH(E70,'2025_budget'!$A$59:$A$69,0),MATCH(C70,'2025_budget'!$B$58:$M$58,0)),
2026,INDEX('2026_budget'!$B$59:$M$69,MATCH(E70,'2026_budget'!$A$59:$A$69,0),MATCH(C70,'2026_budget'!$B$58:$M$58,0))
)</f>
        <v>267500</v>
      </c>
      <c r="G70" s="13" cm="1">
        <f t="array" ref="G70">_xlfn.SWITCH(B70,
2024,INDEX('2024_actual'!$B$59:$M$69,MATCH(E70,'2024_actual'!$A$59:$A$69,0),MATCH(C70,'2024_actual'!$B$58:$M$58,0)),
2025,INDEX('2025_actual'!$B$59:$M$69,MATCH(E70,'2025_actual'!$A$59:$A$69,0),MATCH(C70,'2025_actual'!$B$58:$M$58,0)),
2026,INDEX('2026_actual'!$B$59:$M$69,MATCH(E70,'2026_actual'!$A$59:$A$69,0),MATCH(C70,'2026_actual'!$B$58:$M$58,0))
)</f>
        <v>266900</v>
      </c>
      <c r="H70" s="13">
        <f t="shared" si="15"/>
        <v>-600</v>
      </c>
      <c r="I70" s="10">
        <f t="shared" si="16"/>
        <v>-2.2429906542056075E-3</v>
      </c>
      <c r="J70" s="6" t="str">
        <f t="shared" si="17"/>
        <v>F</v>
      </c>
    </row>
    <row r="71" spans="1:10" x14ac:dyDescent="0.35">
      <c r="A71" s="26">
        <v>45505</v>
      </c>
      <c r="B71">
        <v>2024</v>
      </c>
      <c r="C71" t="s">
        <v>30</v>
      </c>
      <c r="D71" t="s">
        <v>15</v>
      </c>
      <c r="E71" t="s">
        <v>69</v>
      </c>
      <c r="F71" s="13" cm="1">
        <f t="array" ref="F71">_xlfn.SWITCH(B71,
2024,INDEX('2024_budget'!$B$59:$M$69,MATCH(E71,'2024_budget'!$A$59:$A$69,0),MATCH(C71,'2024_budget'!$B$58:$M$58,0)),
2025,INDEX('2025_budget'!$B$59:$M$69,MATCH(E71,'2025_budget'!$A$59:$A$69,0),MATCH(C71,'2025_budget'!$B$58:$M$58,0)),
2026,INDEX('2026_budget'!$B$59:$M$69,MATCH(E71,'2026_budget'!$A$59:$A$69,0),MATCH(C71,'2026_budget'!$B$58:$M$58,0))
)</f>
        <v>314583.33333333331</v>
      </c>
      <c r="G71" s="13" cm="1">
        <f t="array" ref="G71">_xlfn.SWITCH(B71,
2024,INDEX('2024_actual'!$B$59:$M$69,MATCH(E71,'2024_actual'!$A$59:$A$69,0),MATCH(C71,'2024_actual'!$B$58:$M$58,0)),
2025,INDEX('2025_actual'!$B$59:$M$69,MATCH(E71,'2025_actual'!$A$59:$A$69,0),MATCH(C71,'2025_actual'!$B$58:$M$58,0)),
2026,INDEX('2026_actual'!$B$59:$M$69,MATCH(E71,'2026_actual'!$A$59:$A$69,0),MATCH(C71,'2026_actual'!$B$58:$M$58,0))
)</f>
        <v>316550</v>
      </c>
      <c r="H71" s="13">
        <f t="shared" si="15"/>
        <v>1966.6666666666861</v>
      </c>
      <c r="I71" s="10">
        <f t="shared" si="16"/>
        <v>6.2516556291391349E-3</v>
      </c>
      <c r="J71" s="6" t="str">
        <f t="shared" si="17"/>
        <v>U</v>
      </c>
    </row>
    <row r="72" spans="1:10" x14ac:dyDescent="0.35">
      <c r="A72" s="26">
        <v>45505</v>
      </c>
      <c r="B72">
        <v>2024</v>
      </c>
      <c r="C72" t="s">
        <v>30</v>
      </c>
      <c r="D72" t="s">
        <v>146</v>
      </c>
      <c r="E72" t="s">
        <v>70</v>
      </c>
      <c r="F72" s="13" cm="1">
        <f t="array" ref="F72">_xlfn.SWITCH(B72,
2024,INDEX('2024_budget'!$B$59:$M$69,MATCH(E72,'2024_budget'!$A$59:$A$69,0),MATCH(C72,'2024_budget'!$B$58:$M$58,0)),
2025,INDEX('2025_budget'!$B$59:$M$69,MATCH(E72,'2025_budget'!$A$59:$A$69,0),MATCH(C72,'2025_budget'!$B$58:$M$58,0)),
2026,INDEX('2026_budget'!$B$59:$M$69,MATCH(E72,'2026_budget'!$A$59:$A$69,0),MATCH(C72,'2026_budget'!$B$58:$M$58,0))
)</f>
        <v>2949000</v>
      </c>
      <c r="G72" s="13" cm="1">
        <f t="array" ref="G72">_xlfn.SWITCH(B72,
2024,INDEX('2024_actual'!$B$59:$M$69,MATCH(E72,'2024_actual'!$A$59:$A$69,0),MATCH(C72,'2024_actual'!$B$58:$M$58,0)),
2025,INDEX('2025_actual'!$B$59:$M$69,MATCH(E72,'2025_actual'!$A$59:$A$69,0),MATCH(C72,'2025_actual'!$B$58:$M$58,0)),
2026,INDEX('2026_actual'!$B$59:$M$69,MATCH(E72,'2026_actual'!$A$59:$A$69,0),MATCH(C72,'2026_actual'!$B$58:$M$58,0))
)</f>
        <v>2994200</v>
      </c>
      <c r="H72" s="13">
        <f t="shared" si="15"/>
        <v>45200</v>
      </c>
      <c r="I72" s="10">
        <f t="shared" si="16"/>
        <v>1.5327229569345541E-2</v>
      </c>
      <c r="J72" s="6" t="str">
        <f t="shared" si="17"/>
        <v>U</v>
      </c>
    </row>
    <row r="73" spans="1:10" x14ac:dyDescent="0.35">
      <c r="A73" s="26">
        <v>45505</v>
      </c>
      <c r="B73">
        <v>2024</v>
      </c>
      <c r="C73" t="s">
        <v>30</v>
      </c>
      <c r="D73" t="s">
        <v>146</v>
      </c>
      <c r="E73" t="s">
        <v>71</v>
      </c>
      <c r="F73" s="13" cm="1">
        <f t="array" ref="F73">_xlfn.SWITCH(B73,
2024,INDEX('2024_budget'!$B$59:$M$69,MATCH(E73,'2024_budget'!$A$59:$A$69,0),MATCH(C73,'2024_budget'!$B$58:$M$58,0)),
2025,INDEX('2025_budget'!$B$59:$M$69,MATCH(E73,'2025_budget'!$A$59:$A$69,0),MATCH(C73,'2025_budget'!$B$58:$M$58,0)),
2026,INDEX('2026_budget'!$B$59:$M$69,MATCH(E73,'2026_budget'!$A$59:$A$69,0),MATCH(C73,'2026_budget'!$B$58:$M$58,0))
)</f>
        <v>251000</v>
      </c>
      <c r="G73" s="13" cm="1">
        <f t="array" ref="G73">_xlfn.SWITCH(B73,
2024,INDEX('2024_actual'!$B$59:$M$69,MATCH(E73,'2024_actual'!$A$59:$A$69,0),MATCH(C73,'2024_actual'!$B$58:$M$58,0)),
2025,INDEX('2025_actual'!$B$59:$M$69,MATCH(E73,'2025_actual'!$A$59:$A$69,0),MATCH(C73,'2025_actual'!$B$58:$M$58,0)),
2026,INDEX('2026_actual'!$B$59:$M$69,MATCH(E73,'2026_actual'!$A$59:$A$69,0),MATCH(C73,'2026_actual'!$B$58:$M$58,0))
)</f>
        <v>200800</v>
      </c>
      <c r="H73" s="13">
        <f t="shared" si="15"/>
        <v>-50200</v>
      </c>
      <c r="I73" s="10">
        <f t="shared" si="16"/>
        <v>-0.2</v>
      </c>
      <c r="J73" s="6" t="str">
        <f>IF(G73&gt;=F73,"F","U")</f>
        <v>U</v>
      </c>
    </row>
    <row r="74" spans="1:10" x14ac:dyDescent="0.35">
      <c r="A74" s="26">
        <v>45536</v>
      </c>
      <c r="B74">
        <v>2024</v>
      </c>
      <c r="C74" t="s">
        <v>31</v>
      </c>
      <c r="D74" t="s">
        <v>146</v>
      </c>
      <c r="E74" t="s">
        <v>6</v>
      </c>
      <c r="F74" s="13" cm="1">
        <f t="array" ref="F74">_xlfn.SWITCH(B74,
2024,INDEX('2024_budget'!$B$59:$M$69,MATCH(E74,'2024_budget'!$A$59:$A$69,0),MATCH(C74,'2024_budget'!$B$58:$M$58,0)),
2025,INDEX('2025_budget'!$B$59:$M$69,MATCH(E74,'2025_budget'!$A$59:$A$69,0),MATCH(C74,'2025_budget'!$B$58:$M$58,0)),
2026,INDEX('2026_budget'!$B$59:$M$69,MATCH(E74,'2026_budget'!$A$59:$A$69,0),MATCH(C74,'2026_budget'!$B$58:$M$58,0))
)</f>
        <v>3600000</v>
      </c>
      <c r="G74" s="13" cm="1">
        <f t="array" ref="G74">_xlfn.SWITCH(B74,
2024,INDEX('2024_actual'!$B$59:$M$69,MATCH(E74,'2024_actual'!$A$59:$A$69,0),MATCH(C74,'2024_actual'!$B$58:$M$58,0)),
2025,INDEX('2025_actual'!$B$59:$M$69,MATCH(E74,'2025_actual'!$A$59:$A$69,0),MATCH(C74,'2025_actual'!$B$58:$M$58,0)),
2026,INDEX('2026_actual'!$B$59:$M$69,MATCH(E74,'2026_actual'!$A$59:$A$69,0),MATCH(C74,'2026_actual'!$B$58:$M$58,0))
)</f>
        <v>3540000</v>
      </c>
      <c r="H74" s="13">
        <f>G74-F74</f>
        <v>-60000</v>
      </c>
      <c r="I74" s="10">
        <f t="shared" si="16"/>
        <v>-1.6666666666666666E-2</v>
      </c>
      <c r="J74" s="6" t="str">
        <f>IF(G74&gt;=F74,"F","U")</f>
        <v>U</v>
      </c>
    </row>
    <row r="75" spans="1:10" x14ac:dyDescent="0.35">
      <c r="A75" s="26">
        <v>45536</v>
      </c>
      <c r="B75">
        <v>2024</v>
      </c>
      <c r="C75" t="s">
        <v>31</v>
      </c>
      <c r="D75" t="s">
        <v>11</v>
      </c>
      <c r="E75" t="s">
        <v>64</v>
      </c>
      <c r="F75" s="13" cm="1">
        <f t="array" ref="F75">_xlfn.SWITCH(B75,
2024,INDEX('2024_budget'!$B$59:$M$69,MATCH(E75,'2024_budget'!$A$59:$A$69,0),MATCH(C75,'2024_budget'!$B$58:$M$58,0)),
2025,INDEX('2025_budget'!$B$59:$M$69,MATCH(E75,'2025_budget'!$A$59:$A$69,0),MATCH(C75,'2025_budget'!$B$58:$M$58,0)),
2026,INDEX('2026_budget'!$B$59:$M$69,MATCH(E75,'2026_budget'!$A$59:$A$69,0),MATCH(C75,'2026_budget'!$B$58:$M$58,0))
)</f>
        <v>691166.66666666663</v>
      </c>
      <c r="G75" s="13" cm="1">
        <f t="array" ref="G75">_xlfn.SWITCH(B75,
2024,INDEX('2024_actual'!$B$59:$M$69,MATCH(E75,'2024_actual'!$A$59:$A$69,0),MATCH(C75,'2024_actual'!$B$58:$M$58,0)),
2025,INDEX('2025_actual'!$B$59:$M$69,MATCH(E75,'2025_actual'!$A$59:$A$69,0),MATCH(C75,'2025_actual'!$B$58:$M$58,0)),
2026,INDEX('2026_actual'!$B$59:$M$69,MATCH(E75,'2026_actual'!$A$59:$A$69,0),MATCH(C75,'2026_actual'!$B$58:$M$58,0))
)</f>
        <v>687000</v>
      </c>
      <c r="H75" s="13">
        <f t="shared" ref="H75:H82" si="18">G75-F75</f>
        <v>-4166.6666666666279</v>
      </c>
      <c r="I75" s="10">
        <f t="shared" si="16"/>
        <v>-6.0284543043163177E-3</v>
      </c>
      <c r="J75" s="6" t="str">
        <f>IF(G75&lt;=F75,"F","U")</f>
        <v>F</v>
      </c>
    </row>
    <row r="76" spans="1:10" x14ac:dyDescent="0.35">
      <c r="A76" s="26">
        <v>45536</v>
      </c>
      <c r="B76">
        <v>2024</v>
      </c>
      <c r="C76" t="s">
        <v>31</v>
      </c>
      <c r="D76" t="s">
        <v>13</v>
      </c>
      <c r="E76" t="s">
        <v>65</v>
      </c>
      <c r="F76" s="13" cm="1">
        <f t="array" ref="F76">_xlfn.SWITCH(B76,
2024,INDEX('2024_budget'!$B$59:$M$69,MATCH(E76,'2024_budget'!$A$59:$A$69,0),MATCH(C76,'2024_budget'!$B$58:$M$58,0)),
2025,INDEX('2025_budget'!$B$59:$M$69,MATCH(E76,'2025_budget'!$A$59:$A$69,0),MATCH(C76,'2025_budget'!$B$58:$M$58,0)),
2026,INDEX('2026_budget'!$B$59:$M$69,MATCH(E76,'2026_budget'!$A$59:$A$69,0),MATCH(C76,'2026_budget'!$B$58:$M$58,0))
)</f>
        <v>415166.66666666669</v>
      </c>
      <c r="G76" s="13" cm="1">
        <f t="array" ref="G76">_xlfn.SWITCH(B76,
2024,INDEX('2024_actual'!$B$59:$M$69,MATCH(E76,'2024_actual'!$A$59:$A$69,0),MATCH(C76,'2024_actual'!$B$58:$M$58,0)),
2025,INDEX('2025_actual'!$B$59:$M$69,MATCH(E76,'2025_actual'!$A$59:$A$69,0),MATCH(C76,'2025_actual'!$B$58:$M$58,0)),
2026,INDEX('2026_actual'!$B$59:$M$69,MATCH(E76,'2026_actual'!$A$59:$A$69,0),MATCH(C76,'2026_actual'!$B$58:$M$58,0))
)</f>
        <v>431500</v>
      </c>
      <c r="H76" s="13">
        <f t="shared" si="18"/>
        <v>16333.333333333314</v>
      </c>
      <c r="I76" s="10">
        <f t="shared" si="16"/>
        <v>3.9341629867523036E-2</v>
      </c>
      <c r="J76" s="6" t="str">
        <f t="shared" ref="J76:J81" si="19">IF(G76&lt;=F76,"F","U")</f>
        <v>U</v>
      </c>
    </row>
    <row r="77" spans="1:10" x14ac:dyDescent="0.35">
      <c r="A77" s="26">
        <v>45536</v>
      </c>
      <c r="B77">
        <v>2024</v>
      </c>
      <c r="C77" t="s">
        <v>31</v>
      </c>
      <c r="D77" t="s">
        <v>10</v>
      </c>
      <c r="E77" t="s">
        <v>66</v>
      </c>
      <c r="F77" s="13" cm="1">
        <f t="array" ref="F77">_xlfn.SWITCH(B77,
2024,INDEX('2024_budget'!$B$59:$M$69,MATCH(E77,'2024_budget'!$A$59:$A$69,0),MATCH(C77,'2024_budget'!$B$58:$M$58,0)),
2025,INDEX('2025_budget'!$B$59:$M$69,MATCH(E77,'2025_budget'!$A$59:$A$69,0),MATCH(C77,'2025_budget'!$B$58:$M$58,0)),
2026,INDEX('2026_budget'!$B$59:$M$69,MATCH(E77,'2026_budget'!$A$59:$A$69,0),MATCH(C77,'2026_budget'!$B$58:$M$58,0))
)</f>
        <v>1106500</v>
      </c>
      <c r="G77" s="13" cm="1">
        <f t="array" ref="G77">_xlfn.SWITCH(B77,
2024,INDEX('2024_actual'!$B$59:$M$69,MATCH(E77,'2024_actual'!$A$59:$A$69,0),MATCH(C77,'2024_actual'!$B$58:$M$58,0)),
2025,INDEX('2025_actual'!$B$59:$M$69,MATCH(E77,'2025_actual'!$A$59:$A$69,0),MATCH(C77,'2025_actual'!$B$58:$M$58,0)),
2026,INDEX('2026_actual'!$B$59:$M$69,MATCH(E77,'2026_actual'!$A$59:$A$69,0),MATCH(C77,'2026_actual'!$B$58:$M$58,0))
)</f>
        <v>1126000</v>
      </c>
      <c r="H77" s="13">
        <f t="shared" si="18"/>
        <v>19500</v>
      </c>
      <c r="I77" s="10">
        <f t="shared" si="16"/>
        <v>1.7623136014460011E-2</v>
      </c>
      <c r="J77" s="6" t="str">
        <f t="shared" si="19"/>
        <v>U</v>
      </c>
    </row>
    <row r="78" spans="1:10" x14ac:dyDescent="0.35">
      <c r="A78" s="26">
        <v>45536</v>
      </c>
      <c r="B78">
        <v>2024</v>
      </c>
      <c r="C78" t="s">
        <v>31</v>
      </c>
      <c r="D78" t="s">
        <v>14</v>
      </c>
      <c r="E78" t="s">
        <v>67</v>
      </c>
      <c r="F78" s="13" cm="1">
        <f t="array" ref="F78">_xlfn.SWITCH(B78,
2024,INDEX('2024_budget'!$B$59:$M$69,MATCH(E78,'2024_budget'!$A$59:$A$69,0),MATCH(C78,'2024_budget'!$B$58:$M$58,0)),
2025,INDEX('2025_budget'!$B$59:$M$69,MATCH(E78,'2025_budget'!$A$59:$A$69,0),MATCH(C78,'2025_budget'!$B$58:$M$58,0)),
2026,INDEX('2026_budget'!$B$59:$M$69,MATCH(E78,'2026_budget'!$A$59:$A$69,0),MATCH(C78,'2026_budget'!$B$58:$M$58,0))
)</f>
        <v>212083.33333333334</v>
      </c>
      <c r="G78" s="13" cm="1">
        <f t="array" ref="G78">_xlfn.SWITCH(B78,
2024,INDEX('2024_actual'!$B$59:$M$69,MATCH(E78,'2024_actual'!$A$59:$A$69,0),MATCH(C78,'2024_actual'!$B$58:$M$58,0)),
2025,INDEX('2025_actual'!$B$59:$M$69,MATCH(E78,'2025_actual'!$A$59:$A$69,0),MATCH(C78,'2025_actual'!$B$58:$M$58,0)),
2026,INDEX('2026_actual'!$B$59:$M$69,MATCH(E78,'2026_actual'!$A$59:$A$69,0),MATCH(C78,'2026_actual'!$B$58:$M$58,0))
)</f>
        <v>216150</v>
      </c>
      <c r="H78" s="13">
        <f t="shared" si="18"/>
        <v>4066.666666666657</v>
      </c>
      <c r="I78" s="10">
        <f t="shared" si="16"/>
        <v>1.9174852652259284E-2</v>
      </c>
      <c r="J78" s="6" t="str">
        <f t="shared" si="19"/>
        <v>U</v>
      </c>
    </row>
    <row r="79" spans="1:10" x14ac:dyDescent="0.35">
      <c r="A79" s="26">
        <v>45536</v>
      </c>
      <c r="B79">
        <v>2024</v>
      </c>
      <c r="C79" t="s">
        <v>31</v>
      </c>
      <c r="D79" t="s">
        <v>12</v>
      </c>
      <c r="E79" t="s">
        <v>68</v>
      </c>
      <c r="F79" s="13" cm="1">
        <f t="array" ref="F79">_xlfn.SWITCH(B79,
2024,INDEX('2024_budget'!$B$59:$M$69,MATCH(E79,'2024_budget'!$A$59:$A$69,0),MATCH(C79,'2024_budget'!$B$58:$M$58,0)),
2025,INDEX('2025_budget'!$B$59:$M$69,MATCH(E79,'2025_budget'!$A$59:$A$69,0),MATCH(C79,'2025_budget'!$B$58:$M$58,0)),
2026,INDEX('2026_budget'!$B$59:$M$69,MATCH(E79,'2026_budget'!$A$59:$A$69,0),MATCH(C79,'2026_budget'!$B$58:$M$58,0))
)</f>
        <v>267500</v>
      </c>
      <c r="G79" s="13" cm="1">
        <f t="array" ref="G79">_xlfn.SWITCH(B79,
2024,INDEX('2024_actual'!$B$59:$M$69,MATCH(E79,'2024_actual'!$A$59:$A$69,0),MATCH(C79,'2024_actual'!$B$58:$M$58,0)),
2025,INDEX('2025_actual'!$B$59:$M$69,MATCH(E79,'2025_actual'!$A$59:$A$69,0),MATCH(C79,'2025_actual'!$B$58:$M$58,0)),
2026,INDEX('2026_actual'!$B$59:$M$69,MATCH(E79,'2026_actual'!$A$59:$A$69,0),MATCH(C79,'2026_actual'!$B$58:$M$58,0))
)</f>
        <v>268100</v>
      </c>
      <c r="H79" s="13">
        <f t="shared" si="18"/>
        <v>600</v>
      </c>
      <c r="I79" s="10">
        <f t="shared" si="16"/>
        <v>2.2429906542056075E-3</v>
      </c>
      <c r="J79" s="6" t="str">
        <f t="shared" si="19"/>
        <v>U</v>
      </c>
    </row>
    <row r="80" spans="1:10" x14ac:dyDescent="0.35">
      <c r="A80" s="26">
        <v>45536</v>
      </c>
      <c r="B80">
        <v>2024</v>
      </c>
      <c r="C80" t="s">
        <v>31</v>
      </c>
      <c r="D80" t="s">
        <v>15</v>
      </c>
      <c r="E80" t="s">
        <v>69</v>
      </c>
      <c r="F80" s="13" cm="1">
        <f t="array" ref="F80">_xlfn.SWITCH(B80,
2024,INDEX('2024_budget'!$B$59:$M$69,MATCH(E80,'2024_budget'!$A$59:$A$69,0),MATCH(C80,'2024_budget'!$B$58:$M$58,0)),
2025,INDEX('2025_budget'!$B$59:$M$69,MATCH(E80,'2025_budget'!$A$59:$A$69,0),MATCH(C80,'2025_budget'!$B$58:$M$58,0)),
2026,INDEX('2026_budget'!$B$59:$M$69,MATCH(E80,'2026_budget'!$A$59:$A$69,0),MATCH(C80,'2026_budget'!$B$58:$M$58,0))
)</f>
        <v>314583.33333333331</v>
      </c>
      <c r="G80" s="13" cm="1">
        <f t="array" ref="G80">_xlfn.SWITCH(B80,
2024,INDEX('2024_actual'!$B$59:$M$69,MATCH(E80,'2024_actual'!$A$59:$A$69,0),MATCH(C80,'2024_actual'!$B$58:$M$58,0)),
2025,INDEX('2025_actual'!$B$59:$M$69,MATCH(E80,'2025_actual'!$A$59:$A$69,0),MATCH(C80,'2025_actual'!$B$58:$M$58,0)),
2026,INDEX('2026_actual'!$B$59:$M$69,MATCH(E80,'2026_actual'!$A$59:$A$69,0),MATCH(C80,'2026_actual'!$B$58:$M$58,0))
)</f>
        <v>320250</v>
      </c>
      <c r="H80" s="13">
        <f t="shared" si="18"/>
        <v>5666.6666666666861</v>
      </c>
      <c r="I80" s="10">
        <f t="shared" si="16"/>
        <v>1.8013245033112645E-2</v>
      </c>
      <c r="J80" s="6" t="str">
        <f t="shared" si="19"/>
        <v>U</v>
      </c>
    </row>
    <row r="81" spans="1:10" x14ac:dyDescent="0.35">
      <c r="A81" s="26">
        <v>45536</v>
      </c>
      <c r="B81">
        <v>2024</v>
      </c>
      <c r="C81" t="s">
        <v>31</v>
      </c>
      <c r="D81" t="s">
        <v>146</v>
      </c>
      <c r="E81" t="s">
        <v>70</v>
      </c>
      <c r="F81" s="13" cm="1">
        <f t="array" ref="F81">_xlfn.SWITCH(B81,
2024,INDEX('2024_budget'!$B$59:$M$69,MATCH(E81,'2024_budget'!$A$59:$A$69,0),MATCH(C81,'2024_budget'!$B$58:$M$58,0)),
2025,INDEX('2025_budget'!$B$59:$M$69,MATCH(E81,'2025_budget'!$A$59:$A$69,0),MATCH(C81,'2025_budget'!$B$58:$M$58,0)),
2026,INDEX('2026_budget'!$B$59:$M$69,MATCH(E81,'2026_budget'!$A$59:$A$69,0),MATCH(C81,'2026_budget'!$B$58:$M$58,0))
)</f>
        <v>3007000</v>
      </c>
      <c r="G81" s="13" cm="1">
        <f t="array" ref="G81">_xlfn.SWITCH(B81,
2024,INDEX('2024_actual'!$B$59:$M$69,MATCH(E81,'2024_actual'!$A$59:$A$69,0),MATCH(C81,'2024_actual'!$B$58:$M$58,0)),
2025,INDEX('2025_actual'!$B$59:$M$69,MATCH(E81,'2025_actual'!$A$59:$A$69,0),MATCH(C81,'2025_actual'!$B$58:$M$58,0)),
2026,INDEX('2026_actual'!$B$59:$M$69,MATCH(E81,'2026_actual'!$A$59:$A$69,0),MATCH(C81,'2026_actual'!$B$58:$M$58,0))
)</f>
        <v>3049000</v>
      </c>
      <c r="H81" s="13">
        <f t="shared" si="18"/>
        <v>42000</v>
      </c>
      <c r="I81" s="10">
        <f t="shared" si="16"/>
        <v>1.3967409378117725E-2</v>
      </c>
      <c r="J81" s="6" t="str">
        <f t="shared" si="19"/>
        <v>U</v>
      </c>
    </row>
    <row r="82" spans="1:10" x14ac:dyDescent="0.35">
      <c r="A82" s="26">
        <v>45536</v>
      </c>
      <c r="B82">
        <v>2024</v>
      </c>
      <c r="C82" t="s">
        <v>31</v>
      </c>
      <c r="D82" t="s">
        <v>146</v>
      </c>
      <c r="E82" t="s">
        <v>71</v>
      </c>
      <c r="F82" s="13" cm="1">
        <f t="array" ref="F82">_xlfn.SWITCH(B82,
2024,INDEX('2024_budget'!$B$59:$M$69,MATCH(E82,'2024_budget'!$A$59:$A$69,0),MATCH(C82,'2024_budget'!$B$58:$M$58,0)),
2025,INDEX('2025_budget'!$B$59:$M$69,MATCH(E82,'2025_budget'!$A$59:$A$69,0),MATCH(C82,'2025_budget'!$B$58:$M$58,0)),
2026,INDEX('2026_budget'!$B$59:$M$69,MATCH(E82,'2026_budget'!$A$59:$A$69,0),MATCH(C82,'2026_budget'!$B$58:$M$58,0))
)</f>
        <v>593000</v>
      </c>
      <c r="G82" s="13" cm="1">
        <f t="array" ref="G82">_xlfn.SWITCH(B82,
2024,INDEX('2024_actual'!$B$59:$M$69,MATCH(E82,'2024_actual'!$A$59:$A$69,0),MATCH(C82,'2024_actual'!$B$58:$M$58,0)),
2025,INDEX('2025_actual'!$B$59:$M$69,MATCH(E82,'2025_actual'!$A$59:$A$69,0),MATCH(C82,'2025_actual'!$B$58:$M$58,0)),
2026,INDEX('2026_actual'!$B$59:$M$69,MATCH(E82,'2026_actual'!$A$59:$A$69,0),MATCH(C82,'2026_actual'!$B$58:$M$58,0))
)</f>
        <v>491000</v>
      </c>
      <c r="H82" s="13">
        <f t="shared" si="18"/>
        <v>-102000</v>
      </c>
      <c r="I82" s="10">
        <f t="shared" si="16"/>
        <v>-0.17200674536256325</v>
      </c>
      <c r="J82" s="6" t="str">
        <f>IF(G82&gt;=F82,"F","U")</f>
        <v>U</v>
      </c>
    </row>
    <row r="83" spans="1:10" x14ac:dyDescent="0.35">
      <c r="A83" s="26">
        <v>45566</v>
      </c>
      <c r="B83">
        <v>2024</v>
      </c>
      <c r="C83" t="s">
        <v>32</v>
      </c>
      <c r="D83" t="s">
        <v>146</v>
      </c>
      <c r="E83" t="s">
        <v>6</v>
      </c>
      <c r="F83" s="13" cm="1">
        <f t="array" ref="F83">_xlfn.SWITCH(B83,
2024,INDEX('2024_budget'!$B$59:$M$69,MATCH(E83,'2024_budget'!$A$59:$A$69,0),MATCH(C83,'2024_budget'!$B$58:$M$58,0)),
2025,INDEX('2025_budget'!$B$59:$M$69,MATCH(E83,'2025_budget'!$A$59:$A$69,0),MATCH(C83,'2025_budget'!$B$58:$M$58,0)),
2026,INDEX('2026_budget'!$B$59:$M$69,MATCH(E83,'2026_budget'!$A$59:$A$69,0),MATCH(C83,'2026_budget'!$B$58:$M$58,0))
)</f>
        <v>3600000</v>
      </c>
      <c r="G83" s="13" cm="1">
        <f t="array" ref="G83">_xlfn.SWITCH(B83,
2024,INDEX('2024_actual'!$B$59:$M$69,MATCH(E83,'2024_actual'!$A$59:$A$69,0),MATCH(C83,'2024_actual'!$B$58:$M$58,0)),
2025,INDEX('2025_actual'!$B$59:$M$69,MATCH(E83,'2025_actual'!$A$59:$A$69,0),MATCH(C83,'2025_actual'!$B$58:$M$58,0)),
2026,INDEX('2026_actual'!$B$59:$M$69,MATCH(E83,'2026_actual'!$A$59:$A$69,0),MATCH(C83,'2026_actual'!$B$58:$M$58,0))
)</f>
        <v>3585000</v>
      </c>
      <c r="H83" s="13">
        <f>G83-F83</f>
        <v>-15000</v>
      </c>
      <c r="I83" s="10">
        <f t="shared" si="16"/>
        <v>-4.1666666666666666E-3</v>
      </c>
      <c r="J83" s="6" t="str">
        <f>IF(G83&gt;=F83,"F","U")</f>
        <v>U</v>
      </c>
    </row>
    <row r="84" spans="1:10" x14ac:dyDescent="0.35">
      <c r="A84" s="26">
        <v>45566</v>
      </c>
      <c r="B84">
        <v>2024</v>
      </c>
      <c r="C84" t="s">
        <v>32</v>
      </c>
      <c r="D84" t="s">
        <v>11</v>
      </c>
      <c r="E84" t="s">
        <v>64</v>
      </c>
      <c r="F84" s="13" cm="1">
        <f t="array" ref="F84">_xlfn.SWITCH(B84,
2024,INDEX('2024_budget'!$B$59:$M$69,MATCH(E84,'2024_budget'!$A$59:$A$69,0),MATCH(C84,'2024_budget'!$B$58:$M$58,0)),
2025,INDEX('2025_budget'!$B$59:$M$69,MATCH(E84,'2025_budget'!$A$59:$A$69,0),MATCH(C84,'2025_budget'!$B$58:$M$58,0)),
2026,INDEX('2026_budget'!$B$59:$M$69,MATCH(E84,'2026_budget'!$A$59:$A$69,0),MATCH(C84,'2026_budget'!$B$58:$M$58,0))
)</f>
        <v>691166.66666666663</v>
      </c>
      <c r="G84" s="13" cm="1">
        <f t="array" ref="G84">_xlfn.SWITCH(B84,
2024,INDEX('2024_actual'!$B$59:$M$69,MATCH(E84,'2024_actual'!$A$59:$A$69,0),MATCH(C84,'2024_actual'!$B$58:$M$58,0)),
2025,INDEX('2025_actual'!$B$59:$M$69,MATCH(E84,'2025_actual'!$A$59:$A$69,0),MATCH(C84,'2025_actual'!$B$58:$M$58,0)),
2026,INDEX('2026_actual'!$B$59:$M$69,MATCH(E84,'2026_actual'!$A$59:$A$69,0),MATCH(C84,'2026_actual'!$B$58:$M$58,0))
)</f>
        <v>689000</v>
      </c>
      <c r="H84" s="13">
        <f t="shared" ref="H84:H91" si="20">G84-F84</f>
        <v>-2166.6666666666279</v>
      </c>
      <c r="I84" s="10">
        <f t="shared" si="16"/>
        <v>-3.134796238244458E-3</v>
      </c>
      <c r="J84" s="6" t="str">
        <f>IF(G84&lt;=F84,"F","U")</f>
        <v>F</v>
      </c>
    </row>
    <row r="85" spans="1:10" x14ac:dyDescent="0.35">
      <c r="A85" s="26">
        <v>45566</v>
      </c>
      <c r="B85">
        <v>2024</v>
      </c>
      <c r="C85" t="s">
        <v>32</v>
      </c>
      <c r="D85" t="s">
        <v>13</v>
      </c>
      <c r="E85" t="s">
        <v>65</v>
      </c>
      <c r="F85" s="13" cm="1">
        <f t="array" ref="F85">_xlfn.SWITCH(B85,
2024,INDEX('2024_budget'!$B$59:$M$69,MATCH(E85,'2024_budget'!$A$59:$A$69,0),MATCH(C85,'2024_budget'!$B$58:$M$58,0)),
2025,INDEX('2025_budget'!$B$59:$M$69,MATCH(E85,'2025_budget'!$A$59:$A$69,0),MATCH(C85,'2025_budget'!$B$58:$M$58,0)),
2026,INDEX('2026_budget'!$B$59:$M$69,MATCH(E85,'2026_budget'!$A$59:$A$69,0),MATCH(C85,'2026_budget'!$B$58:$M$58,0))
)</f>
        <v>415166.66666666669</v>
      </c>
      <c r="G85" s="13" cm="1">
        <f t="array" ref="G85">_xlfn.SWITCH(B85,
2024,INDEX('2024_actual'!$B$59:$M$69,MATCH(E85,'2024_actual'!$A$59:$A$69,0),MATCH(C85,'2024_actual'!$B$58:$M$58,0)),
2025,INDEX('2025_actual'!$B$59:$M$69,MATCH(E85,'2025_actual'!$A$59:$A$69,0),MATCH(C85,'2025_actual'!$B$58:$M$58,0)),
2026,INDEX('2026_actual'!$B$59:$M$69,MATCH(E85,'2026_actual'!$A$59:$A$69,0),MATCH(C85,'2026_actual'!$B$58:$M$58,0))
)</f>
        <v>437000</v>
      </c>
      <c r="H85" s="13">
        <f t="shared" si="20"/>
        <v>21833.333333333314</v>
      </c>
      <c r="I85" s="10">
        <f t="shared" si="16"/>
        <v>5.2589321557607337E-2</v>
      </c>
      <c r="J85" s="6" t="str">
        <f t="shared" ref="J85:J90" si="21">IF(G85&lt;=F85,"F","U")</f>
        <v>U</v>
      </c>
    </row>
    <row r="86" spans="1:10" x14ac:dyDescent="0.35">
      <c r="A86" s="26">
        <v>45566</v>
      </c>
      <c r="B86">
        <v>2024</v>
      </c>
      <c r="C86" t="s">
        <v>32</v>
      </c>
      <c r="D86" t="s">
        <v>10</v>
      </c>
      <c r="E86" t="s">
        <v>66</v>
      </c>
      <c r="F86" s="13" cm="1">
        <f t="array" ref="F86">_xlfn.SWITCH(B86,
2024,INDEX('2024_budget'!$B$59:$M$69,MATCH(E86,'2024_budget'!$A$59:$A$69,0),MATCH(C86,'2024_budget'!$B$58:$M$58,0)),
2025,INDEX('2025_budget'!$B$59:$M$69,MATCH(E86,'2025_budget'!$A$59:$A$69,0),MATCH(C86,'2025_budget'!$B$58:$M$58,0)),
2026,INDEX('2026_budget'!$B$59:$M$69,MATCH(E86,'2026_budget'!$A$59:$A$69,0),MATCH(C86,'2026_budget'!$B$58:$M$58,0))
)</f>
        <v>1106500</v>
      </c>
      <c r="G86" s="13" cm="1">
        <f t="array" ref="G86">_xlfn.SWITCH(B86,
2024,INDEX('2024_actual'!$B$59:$M$69,MATCH(E86,'2024_actual'!$A$59:$A$69,0),MATCH(C86,'2024_actual'!$B$58:$M$58,0)),
2025,INDEX('2025_actual'!$B$59:$M$69,MATCH(E86,'2025_actual'!$A$59:$A$69,0),MATCH(C86,'2025_actual'!$B$58:$M$58,0)),
2026,INDEX('2026_actual'!$B$59:$M$69,MATCH(E86,'2026_actual'!$A$59:$A$69,0),MATCH(C86,'2026_actual'!$B$58:$M$58,0))
)</f>
        <v>1131000</v>
      </c>
      <c r="H86" s="13">
        <f t="shared" si="20"/>
        <v>24500</v>
      </c>
      <c r="I86" s="10">
        <f t="shared" si="16"/>
        <v>2.2141888838680523E-2</v>
      </c>
      <c r="J86" s="6" t="str">
        <f t="shared" si="21"/>
        <v>U</v>
      </c>
    </row>
    <row r="87" spans="1:10" x14ac:dyDescent="0.35">
      <c r="A87" s="26">
        <v>45566</v>
      </c>
      <c r="B87">
        <v>2024</v>
      </c>
      <c r="C87" t="s">
        <v>32</v>
      </c>
      <c r="D87" t="s">
        <v>14</v>
      </c>
      <c r="E87" t="s">
        <v>67</v>
      </c>
      <c r="F87" s="13" cm="1">
        <f t="array" ref="F87">_xlfn.SWITCH(B87,
2024,INDEX('2024_budget'!$B$59:$M$69,MATCH(E87,'2024_budget'!$A$59:$A$69,0),MATCH(C87,'2024_budget'!$B$58:$M$58,0)),
2025,INDEX('2025_budget'!$B$59:$M$69,MATCH(E87,'2025_budget'!$A$59:$A$69,0),MATCH(C87,'2025_budget'!$B$58:$M$58,0)),
2026,INDEX('2026_budget'!$B$59:$M$69,MATCH(E87,'2026_budget'!$A$59:$A$69,0),MATCH(C87,'2026_budget'!$B$58:$M$58,0))
)</f>
        <v>212083.33333333334</v>
      </c>
      <c r="G87" s="13" cm="1">
        <f t="array" ref="G87">_xlfn.SWITCH(B87,
2024,INDEX('2024_actual'!$B$59:$M$69,MATCH(E87,'2024_actual'!$A$59:$A$69,0),MATCH(C87,'2024_actual'!$B$58:$M$58,0)),
2025,INDEX('2025_actual'!$B$59:$M$69,MATCH(E87,'2025_actual'!$A$59:$A$69,0),MATCH(C87,'2025_actual'!$B$58:$M$58,0)),
2026,INDEX('2026_actual'!$B$59:$M$69,MATCH(E87,'2026_actual'!$A$59:$A$69,0),MATCH(C87,'2026_actual'!$B$58:$M$58,0))
)</f>
        <v>216150</v>
      </c>
      <c r="H87" s="13">
        <f t="shared" si="20"/>
        <v>4066.666666666657</v>
      </c>
      <c r="I87" s="10">
        <f t="shared" si="16"/>
        <v>1.9174852652259284E-2</v>
      </c>
      <c r="J87" s="6" t="str">
        <f t="shared" si="21"/>
        <v>U</v>
      </c>
    </row>
    <row r="88" spans="1:10" x14ac:dyDescent="0.35">
      <c r="A88" s="26">
        <v>45566</v>
      </c>
      <c r="B88">
        <v>2024</v>
      </c>
      <c r="C88" t="s">
        <v>32</v>
      </c>
      <c r="D88" t="s">
        <v>12</v>
      </c>
      <c r="E88" t="s">
        <v>68</v>
      </c>
      <c r="F88" s="13" cm="1">
        <f t="array" ref="F88">_xlfn.SWITCH(B88,
2024,INDEX('2024_budget'!$B$59:$M$69,MATCH(E88,'2024_budget'!$A$59:$A$69,0),MATCH(C88,'2024_budget'!$B$58:$M$58,0)),
2025,INDEX('2025_budget'!$B$59:$M$69,MATCH(E88,'2025_budget'!$A$59:$A$69,0),MATCH(C88,'2025_budget'!$B$58:$M$58,0)),
2026,INDEX('2026_budget'!$B$59:$M$69,MATCH(E88,'2026_budget'!$A$59:$A$69,0),MATCH(C88,'2026_budget'!$B$58:$M$58,0))
)</f>
        <v>267500</v>
      </c>
      <c r="G88" s="13" cm="1">
        <f t="array" ref="G88">_xlfn.SWITCH(B88,
2024,INDEX('2024_actual'!$B$59:$M$69,MATCH(E88,'2024_actual'!$A$59:$A$69,0),MATCH(C88,'2024_actual'!$B$58:$M$58,0)),
2025,INDEX('2025_actual'!$B$59:$M$69,MATCH(E88,'2025_actual'!$A$59:$A$69,0),MATCH(C88,'2025_actual'!$B$58:$M$58,0)),
2026,INDEX('2026_actual'!$B$59:$M$69,MATCH(E88,'2026_actual'!$A$59:$A$69,0),MATCH(C88,'2026_actual'!$B$58:$M$58,0))
)</f>
        <v>268100</v>
      </c>
      <c r="H88" s="13">
        <f t="shared" si="20"/>
        <v>600</v>
      </c>
      <c r="I88" s="10">
        <f t="shared" si="16"/>
        <v>2.2429906542056075E-3</v>
      </c>
      <c r="J88" s="6" t="str">
        <f t="shared" si="21"/>
        <v>U</v>
      </c>
    </row>
    <row r="89" spans="1:10" x14ac:dyDescent="0.35">
      <c r="A89" s="26">
        <v>45566</v>
      </c>
      <c r="B89">
        <v>2024</v>
      </c>
      <c r="C89" t="s">
        <v>32</v>
      </c>
      <c r="D89" t="s">
        <v>15</v>
      </c>
      <c r="E89" t="s">
        <v>69</v>
      </c>
      <c r="F89" s="13" cm="1">
        <f t="array" ref="F89">_xlfn.SWITCH(B89,
2024,INDEX('2024_budget'!$B$59:$M$69,MATCH(E89,'2024_budget'!$A$59:$A$69,0),MATCH(C89,'2024_budget'!$B$58:$M$58,0)),
2025,INDEX('2025_budget'!$B$59:$M$69,MATCH(E89,'2025_budget'!$A$59:$A$69,0),MATCH(C89,'2025_budget'!$B$58:$M$58,0)),
2026,INDEX('2026_budget'!$B$59:$M$69,MATCH(E89,'2026_budget'!$A$59:$A$69,0),MATCH(C89,'2026_budget'!$B$58:$M$58,0))
)</f>
        <v>314583.33333333331</v>
      </c>
      <c r="G89" s="13" cm="1">
        <f t="array" ref="G89">_xlfn.SWITCH(B89,
2024,INDEX('2024_actual'!$B$59:$M$69,MATCH(E89,'2024_actual'!$A$59:$A$69,0),MATCH(C89,'2024_actual'!$B$58:$M$58,0)),
2025,INDEX('2025_actual'!$B$59:$M$69,MATCH(E89,'2025_actual'!$A$59:$A$69,0),MATCH(C89,'2025_actual'!$B$58:$M$58,0)),
2026,INDEX('2026_actual'!$B$59:$M$69,MATCH(E89,'2026_actual'!$A$59:$A$69,0),MATCH(C89,'2026_actual'!$B$58:$M$58,0))
)</f>
        <v>320250</v>
      </c>
      <c r="H89" s="13">
        <f t="shared" si="20"/>
        <v>5666.6666666666861</v>
      </c>
      <c r="I89" s="10">
        <f t="shared" si="16"/>
        <v>1.8013245033112645E-2</v>
      </c>
      <c r="J89" s="6" t="str">
        <f t="shared" si="21"/>
        <v>U</v>
      </c>
    </row>
    <row r="90" spans="1:10" x14ac:dyDescent="0.35">
      <c r="A90" s="26">
        <v>45566</v>
      </c>
      <c r="B90">
        <v>2024</v>
      </c>
      <c r="C90" t="s">
        <v>32</v>
      </c>
      <c r="D90" t="s">
        <v>146</v>
      </c>
      <c r="E90" t="s">
        <v>70</v>
      </c>
      <c r="F90" s="13" cm="1">
        <f t="array" ref="F90">_xlfn.SWITCH(B90,
2024,INDEX('2024_budget'!$B$59:$M$69,MATCH(E90,'2024_budget'!$A$59:$A$69,0),MATCH(C90,'2024_budget'!$B$58:$M$58,0)),
2025,INDEX('2025_budget'!$B$59:$M$69,MATCH(E90,'2025_budget'!$A$59:$A$69,0),MATCH(C90,'2025_budget'!$B$58:$M$58,0)),
2026,INDEX('2026_budget'!$B$59:$M$69,MATCH(E90,'2026_budget'!$A$59:$A$69,0),MATCH(C90,'2026_budget'!$B$58:$M$58,0))
)</f>
        <v>3007000</v>
      </c>
      <c r="G90" s="13" cm="1">
        <f t="array" ref="G90">_xlfn.SWITCH(B90,
2024,INDEX('2024_actual'!$B$59:$M$69,MATCH(E90,'2024_actual'!$A$59:$A$69,0),MATCH(C90,'2024_actual'!$B$58:$M$58,0)),
2025,INDEX('2025_actual'!$B$59:$M$69,MATCH(E90,'2025_actual'!$A$59:$A$69,0),MATCH(C90,'2025_actual'!$B$58:$M$58,0)),
2026,INDEX('2026_actual'!$B$59:$M$69,MATCH(E90,'2026_actual'!$A$59:$A$69,0),MATCH(C90,'2026_actual'!$B$58:$M$58,0))
)</f>
        <v>3061500</v>
      </c>
      <c r="H90" s="13">
        <f t="shared" si="20"/>
        <v>54500</v>
      </c>
      <c r="I90" s="10">
        <f t="shared" si="16"/>
        <v>1.8124376454938477E-2</v>
      </c>
      <c r="J90" s="6" t="str">
        <f t="shared" si="21"/>
        <v>U</v>
      </c>
    </row>
    <row r="91" spans="1:10" x14ac:dyDescent="0.35">
      <c r="A91" s="26">
        <v>45566</v>
      </c>
      <c r="B91">
        <v>2024</v>
      </c>
      <c r="C91" t="s">
        <v>32</v>
      </c>
      <c r="D91" t="s">
        <v>146</v>
      </c>
      <c r="E91" t="s">
        <v>71</v>
      </c>
      <c r="F91" s="13" cm="1">
        <f t="array" ref="F91">_xlfn.SWITCH(B91,
2024,INDEX('2024_budget'!$B$59:$M$69,MATCH(E91,'2024_budget'!$A$59:$A$69,0),MATCH(C91,'2024_budget'!$B$58:$M$58,0)),
2025,INDEX('2025_budget'!$B$59:$M$69,MATCH(E91,'2025_budget'!$A$59:$A$69,0),MATCH(C91,'2025_budget'!$B$58:$M$58,0)),
2026,INDEX('2026_budget'!$B$59:$M$69,MATCH(E91,'2026_budget'!$A$59:$A$69,0),MATCH(C91,'2026_budget'!$B$58:$M$58,0))
)</f>
        <v>593000</v>
      </c>
      <c r="G91" s="13" cm="1">
        <f t="array" ref="G91">_xlfn.SWITCH(B91,
2024,INDEX('2024_actual'!$B$59:$M$69,MATCH(E91,'2024_actual'!$A$59:$A$69,0),MATCH(C91,'2024_actual'!$B$58:$M$58,0)),
2025,INDEX('2025_actual'!$B$59:$M$69,MATCH(E91,'2025_actual'!$A$59:$A$69,0),MATCH(C91,'2025_actual'!$B$58:$M$58,0)),
2026,INDEX('2026_actual'!$B$59:$M$69,MATCH(E91,'2026_actual'!$A$59:$A$69,0),MATCH(C91,'2026_actual'!$B$58:$M$58,0))
)</f>
        <v>523500</v>
      </c>
      <c r="H91" s="13">
        <f t="shared" si="20"/>
        <v>-69500</v>
      </c>
      <c r="I91" s="10">
        <f t="shared" si="16"/>
        <v>-0.11720067453625632</v>
      </c>
      <c r="J91" s="6" t="str">
        <f>IF(G91&gt;=F91,"F","U")</f>
        <v>U</v>
      </c>
    </row>
    <row r="92" spans="1:10" x14ac:dyDescent="0.35">
      <c r="A92" s="26">
        <v>45597</v>
      </c>
      <c r="B92">
        <v>2024</v>
      </c>
      <c r="C92" t="s">
        <v>33</v>
      </c>
      <c r="D92" t="s">
        <v>146</v>
      </c>
      <c r="E92" t="s">
        <v>6</v>
      </c>
      <c r="F92" s="13" cm="1">
        <f t="array" ref="F92">_xlfn.SWITCH(B92,
2024,INDEX('2024_budget'!$B$59:$M$69,MATCH(E92,'2024_budget'!$A$59:$A$69,0),MATCH(C92,'2024_budget'!$B$58:$M$58,0)),
2025,INDEX('2025_budget'!$B$59:$M$69,MATCH(E92,'2025_budget'!$A$59:$A$69,0),MATCH(C92,'2025_budget'!$B$58:$M$58,0)),
2026,INDEX('2026_budget'!$B$59:$M$69,MATCH(E92,'2026_budget'!$A$59:$A$69,0),MATCH(C92,'2026_budget'!$B$58:$M$58,0))
)</f>
        <v>3600000</v>
      </c>
      <c r="G92" s="13" cm="1">
        <f t="array" ref="G92">_xlfn.SWITCH(B92,
2024,INDEX('2024_actual'!$B$59:$M$69,MATCH(E92,'2024_actual'!$A$59:$A$69,0),MATCH(C92,'2024_actual'!$B$58:$M$58,0)),
2025,INDEX('2025_actual'!$B$59:$M$69,MATCH(E92,'2025_actual'!$A$59:$A$69,0),MATCH(C92,'2025_actual'!$B$58:$M$58,0)),
2026,INDEX('2026_actual'!$B$59:$M$69,MATCH(E92,'2026_actual'!$A$59:$A$69,0),MATCH(C92,'2026_actual'!$B$58:$M$58,0))
)</f>
        <v>3645000</v>
      </c>
      <c r="H92" s="13">
        <f>G92-F92</f>
        <v>45000</v>
      </c>
      <c r="I92" s="10">
        <f t="shared" si="16"/>
        <v>1.2500000000000001E-2</v>
      </c>
      <c r="J92" s="6" t="str">
        <f>IF(G92&gt;=F92,"F","U")</f>
        <v>F</v>
      </c>
    </row>
    <row r="93" spans="1:10" x14ac:dyDescent="0.35">
      <c r="A93" s="26">
        <v>45597</v>
      </c>
      <c r="B93">
        <v>2024</v>
      </c>
      <c r="C93" t="s">
        <v>33</v>
      </c>
      <c r="D93" t="s">
        <v>11</v>
      </c>
      <c r="E93" t="s">
        <v>64</v>
      </c>
      <c r="F93" s="13" cm="1">
        <f t="array" ref="F93">_xlfn.SWITCH(B93,
2024,INDEX('2024_budget'!$B$59:$M$69,MATCH(E93,'2024_budget'!$A$59:$A$69,0),MATCH(C93,'2024_budget'!$B$58:$M$58,0)),
2025,INDEX('2025_budget'!$B$59:$M$69,MATCH(E93,'2025_budget'!$A$59:$A$69,0),MATCH(C93,'2025_budget'!$B$58:$M$58,0)),
2026,INDEX('2026_budget'!$B$59:$M$69,MATCH(E93,'2026_budget'!$A$59:$A$69,0),MATCH(C93,'2026_budget'!$B$58:$M$58,0))
)</f>
        <v>691166.66666666663</v>
      </c>
      <c r="G93" s="13" cm="1">
        <f t="array" ref="G93">_xlfn.SWITCH(B93,
2024,INDEX('2024_actual'!$B$59:$M$69,MATCH(E93,'2024_actual'!$A$59:$A$69,0),MATCH(C93,'2024_actual'!$B$58:$M$58,0)),
2025,INDEX('2025_actual'!$B$59:$M$69,MATCH(E93,'2025_actual'!$A$59:$A$69,0),MATCH(C93,'2025_actual'!$B$58:$M$58,0)),
2026,INDEX('2026_actual'!$B$59:$M$69,MATCH(E93,'2026_actual'!$A$59:$A$69,0),MATCH(C93,'2026_actual'!$B$58:$M$58,0))
)</f>
        <v>692500</v>
      </c>
      <c r="H93" s="13">
        <f t="shared" ref="H93:H100" si="22">G93-F93</f>
        <v>1333.3333333333721</v>
      </c>
      <c r="I93" s="10">
        <f t="shared" si="16"/>
        <v>1.9291053773812957E-3</v>
      </c>
      <c r="J93" s="6" t="str">
        <f>IF(G93&lt;=F93,"F","U")</f>
        <v>U</v>
      </c>
    </row>
    <row r="94" spans="1:10" x14ac:dyDescent="0.35">
      <c r="A94" s="26">
        <v>45597</v>
      </c>
      <c r="B94">
        <v>2024</v>
      </c>
      <c r="C94" t="s">
        <v>33</v>
      </c>
      <c r="D94" t="s">
        <v>13</v>
      </c>
      <c r="E94" t="s">
        <v>65</v>
      </c>
      <c r="F94" s="13" cm="1">
        <f t="array" ref="F94">_xlfn.SWITCH(B94,
2024,INDEX('2024_budget'!$B$59:$M$69,MATCH(E94,'2024_budget'!$A$59:$A$69,0),MATCH(C94,'2024_budget'!$B$58:$M$58,0)),
2025,INDEX('2025_budget'!$B$59:$M$69,MATCH(E94,'2025_budget'!$A$59:$A$69,0),MATCH(C94,'2025_budget'!$B$58:$M$58,0)),
2026,INDEX('2026_budget'!$B$59:$M$69,MATCH(E94,'2026_budget'!$A$59:$A$69,0),MATCH(C94,'2026_budget'!$B$58:$M$58,0))
)</f>
        <v>415166.66666666669</v>
      </c>
      <c r="G94" s="13" cm="1">
        <f t="array" ref="G94">_xlfn.SWITCH(B94,
2024,INDEX('2024_actual'!$B$59:$M$69,MATCH(E94,'2024_actual'!$A$59:$A$69,0),MATCH(C94,'2024_actual'!$B$58:$M$58,0)),
2025,INDEX('2025_actual'!$B$59:$M$69,MATCH(E94,'2025_actual'!$A$59:$A$69,0),MATCH(C94,'2025_actual'!$B$58:$M$58,0)),
2026,INDEX('2026_actual'!$B$59:$M$69,MATCH(E94,'2026_actual'!$A$59:$A$69,0),MATCH(C94,'2026_actual'!$B$58:$M$58,0))
)</f>
        <v>443200</v>
      </c>
      <c r="H94" s="13">
        <f t="shared" si="22"/>
        <v>28033.333333333314</v>
      </c>
      <c r="I94" s="10">
        <f t="shared" si="16"/>
        <v>6.7523083099156916E-2</v>
      </c>
      <c r="J94" s="6" t="str">
        <f t="shared" ref="J94:J99" si="23">IF(G94&lt;=F94,"F","U")</f>
        <v>U</v>
      </c>
    </row>
    <row r="95" spans="1:10" x14ac:dyDescent="0.35">
      <c r="A95" s="26">
        <v>45597</v>
      </c>
      <c r="B95">
        <v>2024</v>
      </c>
      <c r="C95" t="s">
        <v>33</v>
      </c>
      <c r="D95" t="s">
        <v>10</v>
      </c>
      <c r="E95" t="s">
        <v>66</v>
      </c>
      <c r="F95" s="13" cm="1">
        <f t="array" ref="F95">_xlfn.SWITCH(B95,
2024,INDEX('2024_budget'!$B$59:$M$69,MATCH(E95,'2024_budget'!$A$59:$A$69,0),MATCH(C95,'2024_budget'!$B$58:$M$58,0)),
2025,INDEX('2025_budget'!$B$59:$M$69,MATCH(E95,'2025_budget'!$A$59:$A$69,0),MATCH(C95,'2025_budget'!$B$58:$M$58,0)),
2026,INDEX('2026_budget'!$B$59:$M$69,MATCH(E95,'2026_budget'!$A$59:$A$69,0),MATCH(C95,'2026_budget'!$B$58:$M$58,0))
)</f>
        <v>1106500</v>
      </c>
      <c r="G95" s="13" cm="1">
        <f t="array" ref="G95">_xlfn.SWITCH(B95,
2024,INDEX('2024_actual'!$B$59:$M$69,MATCH(E95,'2024_actual'!$A$59:$A$69,0),MATCH(C95,'2024_actual'!$B$58:$M$58,0)),
2025,INDEX('2025_actual'!$B$59:$M$69,MATCH(E95,'2025_actual'!$A$59:$A$69,0),MATCH(C95,'2025_actual'!$B$58:$M$58,0)),
2026,INDEX('2026_actual'!$B$59:$M$69,MATCH(E95,'2026_actual'!$A$59:$A$69,0),MATCH(C95,'2026_actual'!$B$58:$M$58,0))
)</f>
        <v>1142000</v>
      </c>
      <c r="H95" s="13">
        <f t="shared" si="22"/>
        <v>35500</v>
      </c>
      <c r="I95" s="10">
        <f t="shared" si="16"/>
        <v>3.2083145051965654E-2</v>
      </c>
      <c r="J95" s="6" t="str">
        <f t="shared" si="23"/>
        <v>U</v>
      </c>
    </row>
    <row r="96" spans="1:10" x14ac:dyDescent="0.35">
      <c r="A96" s="26">
        <v>45597</v>
      </c>
      <c r="B96">
        <v>2024</v>
      </c>
      <c r="C96" t="s">
        <v>33</v>
      </c>
      <c r="D96" t="s">
        <v>14</v>
      </c>
      <c r="E96" t="s">
        <v>67</v>
      </c>
      <c r="F96" s="13" cm="1">
        <f t="array" ref="F96">_xlfn.SWITCH(B96,
2024,INDEX('2024_budget'!$B$59:$M$69,MATCH(E96,'2024_budget'!$A$59:$A$69,0),MATCH(C96,'2024_budget'!$B$58:$M$58,0)),
2025,INDEX('2025_budget'!$B$59:$M$69,MATCH(E96,'2025_budget'!$A$59:$A$69,0),MATCH(C96,'2025_budget'!$B$58:$M$58,0)),
2026,INDEX('2026_budget'!$B$59:$M$69,MATCH(E96,'2026_budget'!$A$59:$A$69,0),MATCH(C96,'2026_budget'!$B$58:$M$58,0))
)</f>
        <v>212083.33333333334</v>
      </c>
      <c r="G96" s="13" cm="1">
        <f t="array" ref="G96">_xlfn.SWITCH(B96,
2024,INDEX('2024_actual'!$B$59:$M$69,MATCH(E96,'2024_actual'!$A$59:$A$69,0),MATCH(C96,'2024_actual'!$B$58:$M$58,0)),
2025,INDEX('2025_actual'!$B$59:$M$69,MATCH(E96,'2025_actual'!$A$59:$A$69,0),MATCH(C96,'2025_actual'!$B$58:$M$58,0)),
2026,INDEX('2026_actual'!$B$59:$M$69,MATCH(E96,'2026_actual'!$A$59:$A$69,0),MATCH(C96,'2026_actual'!$B$58:$M$58,0))
)</f>
        <v>217150</v>
      </c>
      <c r="H96" s="13">
        <f t="shared" si="22"/>
        <v>5066.666666666657</v>
      </c>
      <c r="I96" s="10">
        <f t="shared" si="16"/>
        <v>2.388998035363453E-2</v>
      </c>
      <c r="J96" s="6" t="str">
        <f t="shared" si="23"/>
        <v>U</v>
      </c>
    </row>
    <row r="97" spans="1:10" x14ac:dyDescent="0.35">
      <c r="A97" s="26">
        <v>45597</v>
      </c>
      <c r="B97">
        <v>2024</v>
      </c>
      <c r="C97" t="s">
        <v>33</v>
      </c>
      <c r="D97" t="s">
        <v>12</v>
      </c>
      <c r="E97" t="s">
        <v>68</v>
      </c>
      <c r="F97" s="13" cm="1">
        <f t="array" ref="F97">_xlfn.SWITCH(B97,
2024,INDEX('2024_budget'!$B$59:$M$69,MATCH(E97,'2024_budget'!$A$59:$A$69,0),MATCH(C97,'2024_budget'!$B$58:$M$58,0)),
2025,INDEX('2025_budget'!$B$59:$M$69,MATCH(E97,'2025_budget'!$A$59:$A$69,0),MATCH(C97,'2025_budget'!$B$58:$M$58,0)),
2026,INDEX('2026_budget'!$B$59:$M$69,MATCH(E97,'2026_budget'!$A$59:$A$69,0),MATCH(C97,'2026_budget'!$B$58:$M$58,0))
)</f>
        <v>267500</v>
      </c>
      <c r="G97" s="13" cm="1">
        <f t="array" ref="G97">_xlfn.SWITCH(B97,
2024,INDEX('2024_actual'!$B$59:$M$69,MATCH(E97,'2024_actual'!$A$59:$A$69,0),MATCH(C97,'2024_actual'!$B$58:$M$58,0)),
2025,INDEX('2025_actual'!$B$59:$M$69,MATCH(E97,'2025_actual'!$A$59:$A$69,0),MATCH(C97,'2025_actual'!$B$58:$M$58,0)),
2026,INDEX('2026_actual'!$B$59:$M$69,MATCH(E97,'2026_actual'!$A$59:$A$69,0),MATCH(C97,'2026_actual'!$B$58:$M$58,0))
)</f>
        <v>269800</v>
      </c>
      <c r="H97" s="13">
        <f t="shared" si="22"/>
        <v>2300</v>
      </c>
      <c r="I97" s="10">
        <f t="shared" si="16"/>
        <v>8.5981308411214961E-3</v>
      </c>
      <c r="J97" s="6" t="str">
        <f t="shared" si="23"/>
        <v>U</v>
      </c>
    </row>
    <row r="98" spans="1:10" x14ac:dyDescent="0.35">
      <c r="A98" s="26">
        <v>45597</v>
      </c>
      <c r="B98">
        <v>2024</v>
      </c>
      <c r="C98" t="s">
        <v>33</v>
      </c>
      <c r="D98" t="s">
        <v>15</v>
      </c>
      <c r="E98" t="s">
        <v>69</v>
      </c>
      <c r="F98" s="13" cm="1">
        <f t="array" ref="F98">_xlfn.SWITCH(B98,
2024,INDEX('2024_budget'!$B$59:$M$69,MATCH(E98,'2024_budget'!$A$59:$A$69,0),MATCH(C98,'2024_budget'!$B$58:$M$58,0)),
2025,INDEX('2025_budget'!$B$59:$M$69,MATCH(E98,'2025_budget'!$A$59:$A$69,0),MATCH(C98,'2025_budget'!$B$58:$M$58,0)),
2026,INDEX('2026_budget'!$B$59:$M$69,MATCH(E98,'2026_budget'!$A$59:$A$69,0),MATCH(C98,'2026_budget'!$B$58:$M$58,0))
)</f>
        <v>314583.33333333331</v>
      </c>
      <c r="G98" s="13" cm="1">
        <f t="array" ref="G98">_xlfn.SWITCH(B98,
2024,INDEX('2024_actual'!$B$59:$M$69,MATCH(E98,'2024_actual'!$A$59:$A$69,0),MATCH(C98,'2024_actual'!$B$58:$M$58,0)),
2025,INDEX('2025_actual'!$B$59:$M$69,MATCH(E98,'2025_actual'!$A$59:$A$69,0),MATCH(C98,'2025_actual'!$B$58:$M$58,0)),
2026,INDEX('2026_actual'!$B$59:$M$69,MATCH(E98,'2026_actual'!$A$59:$A$69,0),MATCH(C98,'2026_actual'!$B$58:$M$58,0))
)</f>
        <v>324450</v>
      </c>
      <c r="H98" s="13">
        <f t="shared" si="22"/>
        <v>9866.6666666666861</v>
      </c>
      <c r="I98" s="10">
        <f t="shared" si="16"/>
        <v>3.1364238410596088E-2</v>
      </c>
      <c r="J98" s="6" t="str">
        <f t="shared" si="23"/>
        <v>U</v>
      </c>
    </row>
    <row r="99" spans="1:10" x14ac:dyDescent="0.35">
      <c r="A99" s="26">
        <v>45597</v>
      </c>
      <c r="B99">
        <v>2024</v>
      </c>
      <c r="C99" t="s">
        <v>33</v>
      </c>
      <c r="D99" t="s">
        <v>146</v>
      </c>
      <c r="E99" t="s">
        <v>70</v>
      </c>
      <c r="F99" s="13" cm="1">
        <f t="array" ref="F99">_xlfn.SWITCH(B99,
2024,INDEX('2024_budget'!$B$59:$M$69,MATCH(E99,'2024_budget'!$A$59:$A$69,0),MATCH(C99,'2024_budget'!$B$58:$M$58,0)),
2025,INDEX('2025_budget'!$B$59:$M$69,MATCH(E99,'2025_budget'!$A$59:$A$69,0),MATCH(C99,'2025_budget'!$B$58:$M$58,0)),
2026,INDEX('2026_budget'!$B$59:$M$69,MATCH(E99,'2026_budget'!$A$59:$A$69,0),MATCH(C99,'2026_budget'!$B$58:$M$58,0))
)</f>
        <v>3007000</v>
      </c>
      <c r="G99" s="13" cm="1">
        <f t="array" ref="G99">_xlfn.SWITCH(B99,
2024,INDEX('2024_actual'!$B$59:$M$69,MATCH(E99,'2024_actual'!$A$59:$A$69,0),MATCH(C99,'2024_actual'!$B$58:$M$58,0)),
2025,INDEX('2025_actual'!$B$59:$M$69,MATCH(E99,'2025_actual'!$A$59:$A$69,0),MATCH(C99,'2025_actual'!$B$58:$M$58,0)),
2026,INDEX('2026_actual'!$B$59:$M$69,MATCH(E99,'2026_actual'!$A$59:$A$69,0),MATCH(C99,'2026_actual'!$B$58:$M$58,0))
)</f>
        <v>3089100</v>
      </c>
      <c r="H99" s="13">
        <f t="shared" si="22"/>
        <v>82100</v>
      </c>
      <c r="I99" s="10">
        <f t="shared" si="16"/>
        <v>2.7302959760558698E-2</v>
      </c>
      <c r="J99" s="6" t="str">
        <f t="shared" si="23"/>
        <v>U</v>
      </c>
    </row>
    <row r="100" spans="1:10" x14ac:dyDescent="0.35">
      <c r="A100" s="26">
        <v>45597</v>
      </c>
      <c r="B100">
        <v>2024</v>
      </c>
      <c r="C100" t="s">
        <v>33</v>
      </c>
      <c r="D100" t="s">
        <v>146</v>
      </c>
      <c r="E100" t="s">
        <v>71</v>
      </c>
      <c r="F100" s="13" cm="1">
        <f t="array" ref="F100">_xlfn.SWITCH(B100,
2024,INDEX('2024_budget'!$B$59:$M$69,MATCH(E100,'2024_budget'!$A$59:$A$69,0),MATCH(C100,'2024_budget'!$B$58:$M$58,0)),
2025,INDEX('2025_budget'!$B$59:$M$69,MATCH(E100,'2025_budget'!$A$59:$A$69,0),MATCH(C100,'2025_budget'!$B$58:$M$58,0)),
2026,INDEX('2026_budget'!$B$59:$M$69,MATCH(E100,'2026_budget'!$A$59:$A$69,0),MATCH(C100,'2026_budget'!$B$58:$M$58,0))
)</f>
        <v>593000</v>
      </c>
      <c r="G100" s="13" cm="1">
        <f t="array" ref="G100">_xlfn.SWITCH(B100,
2024,INDEX('2024_actual'!$B$59:$M$69,MATCH(E100,'2024_actual'!$A$59:$A$69,0),MATCH(C100,'2024_actual'!$B$58:$M$58,0)),
2025,INDEX('2025_actual'!$B$59:$M$69,MATCH(E100,'2025_actual'!$A$59:$A$69,0),MATCH(C100,'2025_actual'!$B$58:$M$58,0)),
2026,INDEX('2026_actual'!$B$59:$M$69,MATCH(E100,'2026_actual'!$A$59:$A$69,0),MATCH(C100,'2026_actual'!$B$58:$M$58,0))
)</f>
        <v>555900</v>
      </c>
      <c r="H100" s="13">
        <f t="shared" si="22"/>
        <v>-37100</v>
      </c>
      <c r="I100" s="10">
        <f t="shared" si="16"/>
        <v>-6.2563237774030347E-2</v>
      </c>
      <c r="J100" s="6" t="str">
        <f>IF(G100&gt;=F100,"F","U")</f>
        <v>U</v>
      </c>
    </row>
    <row r="101" spans="1:10" x14ac:dyDescent="0.35">
      <c r="A101" s="26">
        <v>45627</v>
      </c>
      <c r="B101">
        <v>2024</v>
      </c>
      <c r="C101" t="s">
        <v>34</v>
      </c>
      <c r="D101" t="s">
        <v>146</v>
      </c>
      <c r="E101" t="s">
        <v>6</v>
      </c>
      <c r="F101" s="13" cm="1">
        <f t="array" ref="F101">_xlfn.SWITCH(B101,
2024,INDEX('2024_budget'!$B$59:$M$69,MATCH(E101,'2024_budget'!$A$59:$A$69,0),MATCH(C101,'2024_budget'!$B$58:$M$58,0)),
2025,INDEX('2025_budget'!$B$59:$M$69,MATCH(E101,'2025_budget'!$A$59:$A$69,0),MATCH(C101,'2025_budget'!$B$58:$M$58,0)),
2026,INDEX('2026_budget'!$B$59:$M$69,MATCH(E101,'2026_budget'!$A$59:$A$69,0),MATCH(C101,'2026_budget'!$B$58:$M$58,0))
)</f>
        <v>4400000</v>
      </c>
      <c r="G101" s="13" cm="1">
        <f t="array" ref="G101">_xlfn.SWITCH(B101,
2024,INDEX('2024_actual'!$B$59:$M$69,MATCH(E101,'2024_actual'!$A$59:$A$69,0),MATCH(C101,'2024_actual'!$B$58:$M$58,0)),
2025,INDEX('2025_actual'!$B$59:$M$69,MATCH(E101,'2025_actual'!$A$59:$A$69,0),MATCH(C101,'2025_actual'!$B$58:$M$58,0)),
2026,INDEX('2026_actual'!$B$59:$M$69,MATCH(E101,'2026_actual'!$A$59:$A$69,0),MATCH(C101,'2026_actual'!$B$58:$M$58,0))
)</f>
        <v>4135000</v>
      </c>
      <c r="H101" s="13">
        <f>G101-F101</f>
        <v>-265000</v>
      </c>
      <c r="I101" s="10">
        <f t="shared" si="16"/>
        <v>-6.0227272727272727E-2</v>
      </c>
      <c r="J101" s="6" t="str">
        <f>IF(G101&gt;=F101,"F","U")</f>
        <v>U</v>
      </c>
    </row>
    <row r="102" spans="1:10" x14ac:dyDescent="0.35">
      <c r="A102" s="26">
        <v>45627</v>
      </c>
      <c r="B102">
        <v>2024</v>
      </c>
      <c r="C102" t="s">
        <v>34</v>
      </c>
      <c r="D102" t="s">
        <v>11</v>
      </c>
      <c r="E102" t="s">
        <v>64</v>
      </c>
      <c r="F102" s="13" cm="1">
        <f t="array" ref="F102">_xlfn.SWITCH(B102,
2024,INDEX('2024_budget'!$B$59:$M$69,MATCH(E102,'2024_budget'!$A$59:$A$69,0),MATCH(C102,'2024_budget'!$B$58:$M$58,0)),
2025,INDEX('2025_budget'!$B$59:$M$69,MATCH(E102,'2025_budget'!$A$59:$A$69,0),MATCH(C102,'2025_budget'!$B$58:$M$58,0)),
2026,INDEX('2026_budget'!$B$59:$M$69,MATCH(E102,'2026_budget'!$A$59:$A$69,0),MATCH(C102,'2026_budget'!$B$58:$M$58,0))
)</f>
        <v>727166.66666666663</v>
      </c>
      <c r="G102" s="13" cm="1">
        <f t="array" ref="G102">_xlfn.SWITCH(B102,
2024,INDEX('2024_actual'!$B$59:$M$69,MATCH(E102,'2024_actual'!$A$59:$A$69,0),MATCH(C102,'2024_actual'!$B$58:$M$58,0)),
2025,INDEX('2025_actual'!$B$59:$M$69,MATCH(E102,'2025_actual'!$A$59:$A$69,0),MATCH(C102,'2025_actual'!$B$58:$M$58,0)),
2026,INDEX('2026_actual'!$B$59:$M$69,MATCH(E102,'2026_actual'!$A$59:$A$69,0),MATCH(C102,'2026_actual'!$B$58:$M$58,0))
)</f>
        <v>718500</v>
      </c>
      <c r="H102" s="13">
        <f t="shared" ref="H102:H109" si="24">G102-F102</f>
        <v>-8666.6666666666279</v>
      </c>
      <c r="I102" s="10">
        <f t="shared" si="16"/>
        <v>-1.1918404767361853E-2</v>
      </c>
      <c r="J102" s="6" t="str">
        <f>IF(G102&lt;=F102,"F","U")</f>
        <v>F</v>
      </c>
    </row>
    <row r="103" spans="1:10" x14ac:dyDescent="0.35">
      <c r="A103" s="26">
        <v>45627</v>
      </c>
      <c r="B103">
        <v>2024</v>
      </c>
      <c r="C103" t="s">
        <v>34</v>
      </c>
      <c r="D103" t="s">
        <v>13</v>
      </c>
      <c r="E103" t="s">
        <v>65</v>
      </c>
      <c r="F103" s="13" cm="1">
        <f t="array" ref="F103">_xlfn.SWITCH(B103,
2024,INDEX('2024_budget'!$B$59:$M$69,MATCH(E103,'2024_budget'!$A$59:$A$69,0),MATCH(C103,'2024_budget'!$B$58:$M$58,0)),
2025,INDEX('2025_budget'!$B$59:$M$69,MATCH(E103,'2025_budget'!$A$59:$A$69,0),MATCH(C103,'2025_budget'!$B$58:$M$58,0)),
2026,INDEX('2026_budget'!$B$59:$M$69,MATCH(E103,'2026_budget'!$A$59:$A$69,0),MATCH(C103,'2026_budget'!$B$58:$M$58,0))
)</f>
        <v>463166.66666666669</v>
      </c>
      <c r="G103" s="13" cm="1">
        <f t="array" ref="G103">_xlfn.SWITCH(B103,
2024,INDEX('2024_actual'!$B$59:$M$69,MATCH(E103,'2024_actual'!$A$59:$A$69,0),MATCH(C103,'2024_actual'!$B$58:$M$58,0)),
2025,INDEX('2025_actual'!$B$59:$M$69,MATCH(E103,'2025_actual'!$A$59:$A$69,0),MATCH(C103,'2025_actual'!$B$58:$M$58,0)),
2026,INDEX('2026_actual'!$B$59:$M$69,MATCH(E103,'2026_actual'!$A$59:$A$69,0),MATCH(C103,'2026_actual'!$B$58:$M$58,0))
)</f>
        <v>469200</v>
      </c>
      <c r="H103" s="13">
        <f t="shared" si="24"/>
        <v>6033.3333333333139</v>
      </c>
      <c r="I103" s="10">
        <f t="shared" si="16"/>
        <v>1.3026268441885529E-2</v>
      </c>
      <c r="J103" s="6" t="str">
        <f t="shared" ref="J103:J108" si="25">IF(G103&lt;=F103,"F","U")</f>
        <v>U</v>
      </c>
    </row>
    <row r="104" spans="1:10" x14ac:dyDescent="0.35">
      <c r="A104" s="26">
        <v>45627</v>
      </c>
      <c r="B104">
        <v>2024</v>
      </c>
      <c r="C104" t="s">
        <v>34</v>
      </c>
      <c r="D104" t="s">
        <v>10</v>
      </c>
      <c r="E104" t="s">
        <v>66</v>
      </c>
      <c r="F104" s="13" cm="1">
        <f t="array" ref="F104">_xlfn.SWITCH(B104,
2024,INDEX('2024_budget'!$B$59:$M$69,MATCH(E104,'2024_budget'!$A$59:$A$69,0),MATCH(C104,'2024_budget'!$B$58:$M$58,0)),
2025,INDEX('2025_budget'!$B$59:$M$69,MATCH(E104,'2025_budget'!$A$59:$A$69,0),MATCH(C104,'2025_budget'!$B$58:$M$58,0)),
2026,INDEX('2026_budget'!$B$59:$M$69,MATCH(E104,'2026_budget'!$A$59:$A$69,0),MATCH(C104,'2026_budget'!$B$58:$M$58,0))
)</f>
        <v>1138500</v>
      </c>
      <c r="G104" s="13" cm="1">
        <f t="array" ref="G104">_xlfn.SWITCH(B104,
2024,INDEX('2024_actual'!$B$59:$M$69,MATCH(E104,'2024_actual'!$A$59:$A$69,0),MATCH(C104,'2024_actual'!$B$58:$M$58,0)),
2025,INDEX('2025_actual'!$B$59:$M$69,MATCH(E104,'2025_actual'!$A$59:$A$69,0),MATCH(C104,'2025_actual'!$B$58:$M$58,0)),
2026,INDEX('2026_actual'!$B$59:$M$69,MATCH(E104,'2026_actual'!$A$59:$A$69,0),MATCH(C104,'2026_actual'!$B$58:$M$58,0))
)</f>
        <v>1154000</v>
      </c>
      <c r="H104" s="13">
        <f t="shared" si="24"/>
        <v>15500</v>
      </c>
      <c r="I104" s="10">
        <f t="shared" si="16"/>
        <v>1.3614404918752744E-2</v>
      </c>
      <c r="J104" s="6" t="str">
        <f t="shared" si="25"/>
        <v>U</v>
      </c>
    </row>
    <row r="105" spans="1:10" x14ac:dyDescent="0.35">
      <c r="A105" s="26">
        <v>45627</v>
      </c>
      <c r="B105">
        <v>2024</v>
      </c>
      <c r="C105" t="s">
        <v>34</v>
      </c>
      <c r="D105" t="s">
        <v>14</v>
      </c>
      <c r="E105" t="s">
        <v>67</v>
      </c>
      <c r="F105" s="13" cm="1">
        <f t="array" ref="F105">_xlfn.SWITCH(B105,
2024,INDEX('2024_budget'!$B$59:$M$69,MATCH(E105,'2024_budget'!$A$59:$A$69,0),MATCH(C105,'2024_budget'!$B$58:$M$58,0)),
2025,INDEX('2025_budget'!$B$59:$M$69,MATCH(E105,'2025_budget'!$A$59:$A$69,0),MATCH(C105,'2025_budget'!$B$58:$M$58,0)),
2026,INDEX('2026_budget'!$B$59:$M$69,MATCH(E105,'2026_budget'!$A$59:$A$69,0),MATCH(C105,'2026_budget'!$B$58:$M$58,0))
)</f>
        <v>212083.33333333334</v>
      </c>
      <c r="G105" s="13" cm="1">
        <f t="array" ref="G105">_xlfn.SWITCH(B105,
2024,INDEX('2024_actual'!$B$59:$M$69,MATCH(E105,'2024_actual'!$A$59:$A$69,0),MATCH(C105,'2024_actual'!$B$58:$M$58,0)),
2025,INDEX('2025_actual'!$B$59:$M$69,MATCH(E105,'2025_actual'!$A$59:$A$69,0),MATCH(C105,'2025_actual'!$B$58:$M$58,0)),
2026,INDEX('2026_actual'!$B$59:$M$69,MATCH(E105,'2026_actual'!$A$59:$A$69,0),MATCH(C105,'2026_actual'!$B$58:$M$58,0))
)</f>
        <v>217150</v>
      </c>
      <c r="H105" s="13">
        <f t="shared" si="24"/>
        <v>5066.666666666657</v>
      </c>
      <c r="I105" s="10">
        <f t="shared" si="16"/>
        <v>2.388998035363453E-2</v>
      </c>
      <c r="J105" s="6" t="str">
        <f t="shared" si="25"/>
        <v>U</v>
      </c>
    </row>
    <row r="106" spans="1:10" x14ac:dyDescent="0.35">
      <c r="A106" s="26">
        <v>45627</v>
      </c>
      <c r="B106">
        <v>2024</v>
      </c>
      <c r="C106" t="s">
        <v>34</v>
      </c>
      <c r="D106" t="s">
        <v>12</v>
      </c>
      <c r="E106" t="s">
        <v>68</v>
      </c>
      <c r="F106" s="13" cm="1">
        <f t="array" ref="F106">_xlfn.SWITCH(B106,
2024,INDEX('2024_budget'!$B$59:$M$69,MATCH(E106,'2024_budget'!$A$59:$A$69,0),MATCH(C106,'2024_budget'!$B$58:$M$58,0)),
2025,INDEX('2025_budget'!$B$59:$M$69,MATCH(E106,'2025_budget'!$A$59:$A$69,0),MATCH(C106,'2025_budget'!$B$58:$M$58,0)),
2026,INDEX('2026_budget'!$B$59:$M$69,MATCH(E106,'2026_budget'!$A$59:$A$69,0),MATCH(C106,'2026_budget'!$B$58:$M$58,0))
)</f>
        <v>267500</v>
      </c>
      <c r="G106" s="13" cm="1">
        <f t="array" ref="G106">_xlfn.SWITCH(B106,
2024,INDEX('2024_actual'!$B$59:$M$69,MATCH(E106,'2024_actual'!$A$59:$A$69,0),MATCH(C106,'2024_actual'!$B$58:$M$58,0)),
2025,INDEX('2025_actual'!$B$59:$M$69,MATCH(E106,'2025_actual'!$A$59:$A$69,0),MATCH(C106,'2025_actual'!$B$58:$M$58,0)),
2026,INDEX('2026_actual'!$B$59:$M$69,MATCH(E106,'2026_actual'!$A$59:$A$69,0),MATCH(C106,'2026_actual'!$B$58:$M$58,0))
)</f>
        <v>269800</v>
      </c>
      <c r="H106" s="13">
        <f t="shared" si="24"/>
        <v>2300</v>
      </c>
      <c r="I106" s="10">
        <f t="shared" si="16"/>
        <v>8.5981308411214961E-3</v>
      </c>
      <c r="J106" s="6" t="str">
        <f t="shared" si="25"/>
        <v>U</v>
      </c>
    </row>
    <row r="107" spans="1:10" x14ac:dyDescent="0.35">
      <c r="A107" s="26">
        <v>45627</v>
      </c>
      <c r="B107">
        <v>2024</v>
      </c>
      <c r="C107" t="s">
        <v>34</v>
      </c>
      <c r="D107" t="s">
        <v>15</v>
      </c>
      <c r="E107" t="s">
        <v>69</v>
      </c>
      <c r="F107" s="13" cm="1">
        <f t="array" ref="F107">_xlfn.SWITCH(B107,
2024,INDEX('2024_budget'!$B$59:$M$69,MATCH(E107,'2024_budget'!$A$59:$A$69,0),MATCH(C107,'2024_budget'!$B$58:$M$58,0)),
2025,INDEX('2025_budget'!$B$59:$M$69,MATCH(E107,'2025_budget'!$A$59:$A$69,0),MATCH(C107,'2025_budget'!$B$58:$M$58,0)),
2026,INDEX('2026_budget'!$B$59:$M$69,MATCH(E107,'2026_budget'!$A$59:$A$69,0),MATCH(C107,'2026_budget'!$B$58:$M$58,0))
)</f>
        <v>314583.33333333331</v>
      </c>
      <c r="G107" s="13" cm="1">
        <f t="array" ref="G107">_xlfn.SWITCH(B107,
2024,INDEX('2024_actual'!$B$59:$M$69,MATCH(E107,'2024_actual'!$A$59:$A$69,0),MATCH(C107,'2024_actual'!$B$58:$M$58,0)),
2025,INDEX('2025_actual'!$B$59:$M$69,MATCH(E107,'2025_actual'!$A$59:$A$69,0),MATCH(C107,'2025_actual'!$B$58:$M$58,0)),
2026,INDEX('2026_actual'!$B$59:$M$69,MATCH(E107,'2026_actual'!$A$59:$A$69,0),MATCH(C107,'2026_actual'!$B$58:$M$58,0))
)</f>
        <v>324450</v>
      </c>
      <c r="H107" s="13">
        <f t="shared" si="24"/>
        <v>9866.6666666666861</v>
      </c>
      <c r="I107" s="10">
        <f t="shared" si="16"/>
        <v>3.1364238410596088E-2</v>
      </c>
      <c r="J107" s="6" t="str">
        <f t="shared" si="25"/>
        <v>U</v>
      </c>
    </row>
    <row r="108" spans="1:10" x14ac:dyDescent="0.35">
      <c r="A108" s="26">
        <v>45627</v>
      </c>
      <c r="B108">
        <v>2024</v>
      </c>
      <c r="C108" t="s">
        <v>34</v>
      </c>
      <c r="D108" t="s">
        <v>146</v>
      </c>
      <c r="E108" t="s">
        <v>70</v>
      </c>
      <c r="F108" s="13" cm="1">
        <f t="array" ref="F108">_xlfn.SWITCH(B108,
2024,INDEX('2024_budget'!$B$59:$M$69,MATCH(E108,'2024_budget'!$A$59:$A$69,0),MATCH(C108,'2024_budget'!$B$58:$M$58,0)),
2025,INDEX('2025_budget'!$B$59:$M$69,MATCH(E108,'2025_budget'!$A$59:$A$69,0),MATCH(C108,'2025_budget'!$B$58:$M$58,0)),
2026,INDEX('2026_budget'!$B$59:$M$69,MATCH(E108,'2026_budget'!$A$59:$A$69,0),MATCH(C108,'2026_budget'!$B$58:$M$58,0))
)</f>
        <v>3123000</v>
      </c>
      <c r="G108" s="13" cm="1">
        <f t="array" ref="G108">_xlfn.SWITCH(B108,
2024,INDEX('2024_actual'!$B$59:$M$69,MATCH(E108,'2024_actual'!$A$59:$A$69,0),MATCH(C108,'2024_actual'!$B$58:$M$58,0)),
2025,INDEX('2025_actual'!$B$59:$M$69,MATCH(E108,'2025_actual'!$A$59:$A$69,0),MATCH(C108,'2025_actual'!$B$58:$M$58,0)),
2026,INDEX('2026_actual'!$B$59:$M$69,MATCH(E108,'2026_actual'!$A$59:$A$69,0),MATCH(C108,'2026_actual'!$B$58:$M$58,0))
)</f>
        <v>3153100</v>
      </c>
      <c r="H108" s="13">
        <f t="shared" si="24"/>
        <v>30100</v>
      </c>
      <c r="I108" s="10">
        <f t="shared" si="16"/>
        <v>9.6381684277937873E-3</v>
      </c>
      <c r="J108" s="6" t="str">
        <f t="shared" si="25"/>
        <v>U</v>
      </c>
    </row>
    <row r="109" spans="1:10" x14ac:dyDescent="0.35">
      <c r="A109" s="26">
        <v>45627</v>
      </c>
      <c r="B109">
        <v>2024</v>
      </c>
      <c r="C109" t="s">
        <v>34</v>
      </c>
      <c r="D109" t="s">
        <v>146</v>
      </c>
      <c r="E109" t="s">
        <v>71</v>
      </c>
      <c r="F109" s="13" cm="1">
        <f t="array" ref="F109">_xlfn.SWITCH(B109,
2024,INDEX('2024_budget'!$B$59:$M$69,MATCH(E109,'2024_budget'!$A$59:$A$69,0),MATCH(C109,'2024_budget'!$B$58:$M$58,0)),
2025,INDEX('2025_budget'!$B$59:$M$69,MATCH(E109,'2025_budget'!$A$59:$A$69,0),MATCH(C109,'2025_budget'!$B$58:$M$58,0)),
2026,INDEX('2026_budget'!$B$59:$M$69,MATCH(E109,'2026_budget'!$A$59:$A$69,0),MATCH(C109,'2026_budget'!$B$58:$M$58,0))
)</f>
        <v>1277000</v>
      </c>
      <c r="G109" s="13" cm="1">
        <f t="array" ref="G109">_xlfn.SWITCH(B109,
2024,INDEX('2024_actual'!$B$59:$M$69,MATCH(E109,'2024_actual'!$A$59:$A$69,0),MATCH(C109,'2024_actual'!$B$58:$M$58,0)),
2025,INDEX('2025_actual'!$B$59:$M$69,MATCH(E109,'2025_actual'!$A$59:$A$69,0),MATCH(C109,'2025_actual'!$B$58:$M$58,0)),
2026,INDEX('2026_actual'!$B$59:$M$69,MATCH(E109,'2026_actual'!$A$59:$A$69,0),MATCH(C109,'2026_actual'!$B$58:$M$58,0))
)</f>
        <v>981900</v>
      </c>
      <c r="H109" s="13">
        <f t="shared" si="24"/>
        <v>-295100</v>
      </c>
      <c r="I109" s="10">
        <f t="shared" si="16"/>
        <v>-0.23108848864526232</v>
      </c>
      <c r="J109" s="6" t="str">
        <f>IF(G109&gt;=F109,"F","U")</f>
        <v>U</v>
      </c>
    </row>
    <row r="110" spans="1:10" x14ac:dyDescent="0.35">
      <c r="A110" s="26">
        <v>45658</v>
      </c>
      <c r="B110">
        <v>2025</v>
      </c>
      <c r="C110" t="s">
        <v>23</v>
      </c>
      <c r="D110" t="s">
        <v>146</v>
      </c>
      <c r="E110" t="s">
        <v>6</v>
      </c>
      <c r="F110" s="13" cm="1">
        <f t="array" ref="F110">_xlfn.SWITCH(B110,
2024,INDEX('2024_budget'!$B$59:$M$69,MATCH(E110,'2024_budget'!$A$59:$A$69,0),MATCH(C110,'2024_budget'!$B$58:$M$58,0)),
2025,INDEX('2025_budget'!$B$59:$M$69,MATCH(E110,'2025_budget'!$A$59:$A$69,0),MATCH(C110,'2025_budget'!$B$58:$M$58,0)),
2026,INDEX('2026_budget'!$B$59:$M$69,MATCH(E110,'2026_budget'!$A$59:$A$69,0),MATCH(C110,'2026_budget'!$B$58:$M$58,0))
)</f>
        <v>3220000.0000000005</v>
      </c>
      <c r="G110" s="13" cm="1">
        <f t="array" ref="G110">_xlfn.SWITCH(B110,
2024,INDEX('2024_actual'!$B$59:$M$69,MATCH(E110,'2024_actual'!$A$59:$A$69,0),MATCH(C110,'2024_actual'!$B$58:$M$58,0)),
2025,INDEX('2025_actual'!$B$59:$M$69,MATCH(E110,'2025_actual'!$A$59:$A$69,0),MATCH(C110,'2025_actual'!$B$58:$M$58,0)),
2026,INDEX('2026_actual'!$B$59:$M$69,MATCH(E110,'2026_actual'!$A$59:$A$69,0),MATCH(C110,'2026_actual'!$B$58:$M$58,0))
)</f>
        <v>3160000</v>
      </c>
      <c r="H110" s="13">
        <f>G110-F110</f>
        <v>-60000.000000000466</v>
      </c>
      <c r="I110" s="10">
        <f t="shared" si="16"/>
        <v>-1.863354037267095E-2</v>
      </c>
      <c r="J110" s="6" t="str">
        <f>IF(G110&gt;=F110,"F","U")</f>
        <v>U</v>
      </c>
    </row>
    <row r="111" spans="1:10" x14ac:dyDescent="0.35">
      <c r="A111" s="26">
        <v>45658</v>
      </c>
      <c r="B111">
        <v>2025</v>
      </c>
      <c r="C111" t="s">
        <v>23</v>
      </c>
      <c r="D111" t="s">
        <v>11</v>
      </c>
      <c r="E111" t="s">
        <v>64</v>
      </c>
      <c r="F111" s="13" cm="1">
        <f t="array" ref="F111">_xlfn.SWITCH(B111,
2024,INDEX('2024_budget'!$B$59:$M$69,MATCH(E111,'2024_budget'!$A$59:$A$69,0),MATCH(C111,'2024_budget'!$B$58:$M$58,0)),
2025,INDEX('2025_budget'!$B$59:$M$69,MATCH(E111,'2025_budget'!$A$59:$A$69,0),MATCH(C111,'2025_budget'!$B$58:$M$58,0)),
2026,INDEX('2026_budget'!$B$59:$M$69,MATCH(E111,'2026_budget'!$A$59:$A$69,0),MATCH(C111,'2026_budget'!$B$58:$M$58,0))
)</f>
        <v>743483.33333333337</v>
      </c>
      <c r="G111" s="13" cm="1">
        <f t="array" ref="G111">_xlfn.SWITCH(B111,
2024,INDEX('2024_actual'!$B$59:$M$69,MATCH(E111,'2024_actual'!$A$59:$A$69,0),MATCH(C111,'2024_actual'!$B$58:$M$58,0)),
2025,INDEX('2025_actual'!$B$59:$M$69,MATCH(E111,'2025_actual'!$A$59:$A$69,0),MATCH(C111,'2025_actual'!$B$58:$M$58,0)),
2026,INDEX('2026_actual'!$B$59:$M$69,MATCH(E111,'2026_actual'!$A$59:$A$69,0),MATCH(C111,'2026_actual'!$B$58:$M$58,0))
)</f>
        <v>733750</v>
      </c>
      <c r="H111" s="13">
        <f t="shared" ref="H111:H118" si="26">G111-F111</f>
        <v>-9733.3333333333721</v>
      </c>
      <c r="I111" s="10">
        <f t="shared" si="16"/>
        <v>-1.3091528615301896E-2</v>
      </c>
      <c r="J111" s="6" t="str">
        <f>IF(G111&lt;=F111,"F","U")</f>
        <v>F</v>
      </c>
    </row>
    <row r="112" spans="1:10" x14ac:dyDescent="0.35">
      <c r="A112" s="26">
        <v>45658</v>
      </c>
      <c r="B112">
        <v>2025</v>
      </c>
      <c r="C112" t="s">
        <v>23</v>
      </c>
      <c r="D112" t="s">
        <v>13</v>
      </c>
      <c r="E112" t="s">
        <v>65</v>
      </c>
      <c r="F112" s="13" cm="1">
        <f t="array" ref="F112">_xlfn.SWITCH(B112,
2024,INDEX('2024_budget'!$B$59:$M$69,MATCH(E112,'2024_budget'!$A$59:$A$69,0),MATCH(C112,'2024_budget'!$B$58:$M$58,0)),
2025,INDEX('2025_budget'!$B$59:$M$69,MATCH(E112,'2025_budget'!$A$59:$A$69,0),MATCH(C112,'2025_budget'!$B$58:$M$58,0)),
2026,INDEX('2026_budget'!$B$59:$M$69,MATCH(E112,'2026_budget'!$A$59:$A$69,0),MATCH(C112,'2026_budget'!$B$58:$M$58,0))
)</f>
        <v>418553.33333333331</v>
      </c>
      <c r="G112" s="13" cm="1">
        <f t="array" ref="G112">_xlfn.SWITCH(B112,
2024,INDEX('2024_actual'!$B$59:$M$69,MATCH(E112,'2024_actual'!$A$59:$A$69,0),MATCH(C112,'2024_actual'!$B$58:$M$58,0)),
2025,INDEX('2025_actual'!$B$59:$M$69,MATCH(E112,'2025_actual'!$A$59:$A$69,0),MATCH(C112,'2025_actual'!$B$58:$M$58,0)),
2026,INDEX('2026_actual'!$B$59:$M$69,MATCH(E112,'2026_actual'!$A$59:$A$69,0),MATCH(C112,'2026_actual'!$B$58:$M$58,0))
)</f>
        <v>423100</v>
      </c>
      <c r="H112" s="13">
        <f t="shared" si="26"/>
        <v>4546.6666666666861</v>
      </c>
      <c r="I112" s="10">
        <f t="shared" si="16"/>
        <v>1.0862813181912349E-2</v>
      </c>
      <c r="J112" s="6" t="str">
        <f t="shared" ref="J112:J117" si="27">IF(G112&lt;=F112,"F","U")</f>
        <v>U</v>
      </c>
    </row>
    <row r="113" spans="1:10" x14ac:dyDescent="0.35">
      <c r="A113" s="26">
        <v>45658</v>
      </c>
      <c r="B113">
        <v>2025</v>
      </c>
      <c r="C113" t="s">
        <v>23</v>
      </c>
      <c r="D113" t="s">
        <v>10</v>
      </c>
      <c r="E113" t="s">
        <v>66</v>
      </c>
      <c r="F113" s="13" cm="1">
        <f t="array" ref="F113">_xlfn.SWITCH(B113,
2024,INDEX('2024_budget'!$B$59:$M$69,MATCH(E113,'2024_budget'!$A$59:$A$69,0),MATCH(C113,'2024_budget'!$B$58:$M$58,0)),
2025,INDEX('2025_budget'!$B$59:$M$69,MATCH(E113,'2025_budget'!$A$59:$A$69,0),MATCH(C113,'2025_budget'!$B$58:$M$58,0)),
2026,INDEX('2026_budget'!$B$59:$M$69,MATCH(E113,'2026_budget'!$A$59:$A$69,0),MATCH(C113,'2026_budget'!$B$58:$M$58,0))
)</f>
        <v>1204580</v>
      </c>
      <c r="G113" s="13" cm="1">
        <f t="array" ref="G113">_xlfn.SWITCH(B113,
2024,INDEX('2024_actual'!$B$59:$M$69,MATCH(E113,'2024_actual'!$A$59:$A$69,0),MATCH(C113,'2024_actual'!$B$58:$M$58,0)),
2025,INDEX('2025_actual'!$B$59:$M$69,MATCH(E113,'2025_actual'!$A$59:$A$69,0),MATCH(C113,'2025_actual'!$B$58:$M$58,0)),
2026,INDEX('2026_actual'!$B$59:$M$69,MATCH(E113,'2026_actual'!$A$59:$A$69,0),MATCH(C113,'2026_actual'!$B$58:$M$58,0))
)</f>
        <v>1208000</v>
      </c>
      <c r="H113" s="13">
        <f t="shared" si="26"/>
        <v>3420</v>
      </c>
      <c r="I113" s="10">
        <f t="shared" si="16"/>
        <v>2.8391638579421874E-3</v>
      </c>
      <c r="J113" s="6" t="str">
        <f t="shared" si="27"/>
        <v>U</v>
      </c>
    </row>
    <row r="114" spans="1:10" x14ac:dyDescent="0.35">
      <c r="A114" s="26">
        <v>45658</v>
      </c>
      <c r="B114">
        <v>2025</v>
      </c>
      <c r="C114" t="s">
        <v>23</v>
      </c>
      <c r="D114" t="s">
        <v>14</v>
      </c>
      <c r="E114" t="s">
        <v>67</v>
      </c>
      <c r="F114" s="13" cm="1">
        <f t="array" ref="F114">_xlfn.SWITCH(B114,
2024,INDEX('2024_budget'!$B$59:$M$69,MATCH(E114,'2024_budget'!$A$59:$A$69,0),MATCH(C114,'2024_budget'!$B$58:$M$58,0)),
2025,INDEX('2025_budget'!$B$59:$M$69,MATCH(E114,'2025_budget'!$A$59:$A$69,0),MATCH(C114,'2025_budget'!$B$58:$M$58,0)),
2026,INDEX('2026_budget'!$B$59:$M$69,MATCH(E114,'2026_budget'!$A$59:$A$69,0),MATCH(C114,'2026_budget'!$B$58:$M$58,0))
)</f>
        <v>248125</v>
      </c>
      <c r="G114" s="13" cm="1">
        <f t="array" ref="G114">_xlfn.SWITCH(B114,
2024,INDEX('2024_actual'!$B$59:$M$69,MATCH(E114,'2024_actual'!$A$59:$A$69,0),MATCH(C114,'2024_actual'!$B$58:$M$58,0)),
2025,INDEX('2025_actual'!$B$59:$M$69,MATCH(E114,'2025_actual'!$A$59:$A$69,0),MATCH(C114,'2025_actual'!$B$58:$M$58,0)),
2026,INDEX('2026_actual'!$B$59:$M$69,MATCH(E114,'2026_actual'!$A$59:$A$69,0),MATCH(C114,'2026_actual'!$B$58:$M$58,0))
)</f>
        <v>244450</v>
      </c>
      <c r="H114" s="13">
        <f t="shared" si="26"/>
        <v>-3675</v>
      </c>
      <c r="I114" s="10">
        <f t="shared" si="16"/>
        <v>-1.4811083123425692E-2</v>
      </c>
      <c r="J114" s="6" t="str">
        <f t="shared" si="27"/>
        <v>F</v>
      </c>
    </row>
    <row r="115" spans="1:10" x14ac:dyDescent="0.35">
      <c r="A115" s="26">
        <v>45658</v>
      </c>
      <c r="B115">
        <v>2025</v>
      </c>
      <c r="C115" t="s">
        <v>23</v>
      </c>
      <c r="D115" t="s">
        <v>12</v>
      </c>
      <c r="E115" t="s">
        <v>68</v>
      </c>
      <c r="F115" s="13" cm="1">
        <f t="array" ref="F115">_xlfn.SWITCH(B115,
2024,INDEX('2024_budget'!$B$59:$M$69,MATCH(E115,'2024_budget'!$A$59:$A$69,0),MATCH(C115,'2024_budget'!$B$58:$M$58,0)),
2025,INDEX('2025_budget'!$B$59:$M$69,MATCH(E115,'2025_budget'!$A$59:$A$69,0),MATCH(C115,'2025_budget'!$B$58:$M$58,0)),
2026,INDEX('2026_budget'!$B$59:$M$69,MATCH(E115,'2026_budget'!$A$59:$A$69,0),MATCH(C115,'2026_budget'!$B$58:$M$58,0))
)</f>
        <v>302665</v>
      </c>
      <c r="G115" s="13" cm="1">
        <f t="array" ref="G115">_xlfn.SWITCH(B115,
2024,INDEX('2024_actual'!$B$59:$M$69,MATCH(E115,'2024_actual'!$A$59:$A$69,0),MATCH(C115,'2024_actual'!$B$58:$M$58,0)),
2025,INDEX('2025_actual'!$B$59:$M$69,MATCH(E115,'2025_actual'!$A$59:$A$69,0),MATCH(C115,'2025_actual'!$B$58:$M$58,0)),
2026,INDEX('2026_actual'!$B$59:$M$69,MATCH(E115,'2026_actual'!$A$59:$A$69,0),MATCH(C115,'2026_actual'!$B$58:$M$58,0))
)</f>
        <v>297150</v>
      </c>
      <c r="H115" s="13">
        <f t="shared" si="26"/>
        <v>-5515</v>
      </c>
      <c r="I115" s="10">
        <f t="shared" si="16"/>
        <v>-1.8221465977235559E-2</v>
      </c>
      <c r="J115" s="6" t="str">
        <f t="shared" si="27"/>
        <v>F</v>
      </c>
    </row>
    <row r="116" spans="1:10" x14ac:dyDescent="0.35">
      <c r="A116" s="26">
        <v>45658</v>
      </c>
      <c r="B116">
        <v>2025</v>
      </c>
      <c r="C116" t="s">
        <v>23</v>
      </c>
      <c r="D116" t="s">
        <v>15</v>
      </c>
      <c r="E116" t="s">
        <v>69</v>
      </c>
      <c r="F116" s="13" cm="1">
        <f t="array" ref="F116">_xlfn.SWITCH(B116,
2024,INDEX('2024_budget'!$B$59:$M$69,MATCH(E116,'2024_budget'!$A$59:$A$69,0),MATCH(C116,'2024_budget'!$B$58:$M$58,0)),
2025,INDEX('2025_budget'!$B$59:$M$69,MATCH(E116,'2025_budget'!$A$59:$A$69,0),MATCH(C116,'2025_budget'!$B$58:$M$58,0)),
2026,INDEX('2026_budget'!$B$59:$M$69,MATCH(E116,'2026_budget'!$A$59:$A$69,0),MATCH(C116,'2026_budget'!$B$58:$M$58,0))
)</f>
        <v>336106.66666666669</v>
      </c>
      <c r="G116" s="13" cm="1">
        <f t="array" ref="G116">_xlfn.SWITCH(B116,
2024,INDEX('2024_actual'!$B$59:$M$69,MATCH(E116,'2024_actual'!$A$59:$A$69,0),MATCH(C116,'2024_actual'!$B$58:$M$58,0)),
2025,INDEX('2025_actual'!$B$59:$M$69,MATCH(E116,'2025_actual'!$A$59:$A$69,0),MATCH(C116,'2025_actual'!$B$58:$M$58,0)),
2026,INDEX('2026_actual'!$B$59:$M$69,MATCH(E116,'2026_actual'!$A$59:$A$69,0),MATCH(C116,'2026_actual'!$B$58:$M$58,0))
)</f>
        <v>331900</v>
      </c>
      <c r="H116" s="13">
        <f t="shared" si="26"/>
        <v>-4206.6666666666861</v>
      </c>
      <c r="I116" s="10">
        <f t="shared" si="16"/>
        <v>-1.2515867978419606E-2</v>
      </c>
      <c r="J116" s="6" t="str">
        <f t="shared" si="27"/>
        <v>F</v>
      </c>
    </row>
    <row r="117" spans="1:10" x14ac:dyDescent="0.35">
      <c r="A117" s="26">
        <v>45658</v>
      </c>
      <c r="B117">
        <v>2025</v>
      </c>
      <c r="C117" t="s">
        <v>23</v>
      </c>
      <c r="D117" t="s">
        <v>146</v>
      </c>
      <c r="E117" t="s">
        <v>70</v>
      </c>
      <c r="F117" s="13" cm="1">
        <f t="array" ref="F117">_xlfn.SWITCH(B117,
2024,INDEX('2024_budget'!$B$59:$M$69,MATCH(E117,'2024_budget'!$A$59:$A$69,0),MATCH(C117,'2024_budget'!$B$58:$M$58,0)),
2025,INDEX('2025_budget'!$B$59:$M$69,MATCH(E117,'2025_budget'!$A$59:$A$69,0),MATCH(C117,'2025_budget'!$B$58:$M$58,0)),
2026,INDEX('2026_budget'!$B$59:$M$69,MATCH(E117,'2026_budget'!$A$59:$A$69,0),MATCH(C117,'2026_budget'!$B$58:$M$58,0))
)</f>
        <v>3253513.3333333335</v>
      </c>
      <c r="G117" s="13" cm="1">
        <f t="array" ref="G117">_xlfn.SWITCH(B117,
2024,INDEX('2024_actual'!$B$59:$M$69,MATCH(E117,'2024_actual'!$A$59:$A$69,0),MATCH(C117,'2024_actual'!$B$58:$M$58,0)),
2025,INDEX('2025_actual'!$B$59:$M$69,MATCH(E117,'2025_actual'!$A$59:$A$69,0),MATCH(C117,'2025_actual'!$B$58:$M$58,0)),
2026,INDEX('2026_actual'!$B$59:$M$69,MATCH(E117,'2026_actual'!$A$59:$A$69,0),MATCH(C117,'2026_actual'!$B$58:$M$58,0))
)</f>
        <v>3238350</v>
      </c>
      <c r="H117" s="13">
        <f t="shared" si="26"/>
        <v>-15163.333333333489</v>
      </c>
      <c r="I117" s="10">
        <f t="shared" si="16"/>
        <v>-4.6606027945175635E-3</v>
      </c>
      <c r="J117" s="6" t="str">
        <f t="shared" si="27"/>
        <v>F</v>
      </c>
    </row>
    <row r="118" spans="1:10" x14ac:dyDescent="0.35">
      <c r="A118" s="26">
        <v>45658</v>
      </c>
      <c r="B118">
        <v>2025</v>
      </c>
      <c r="C118" t="s">
        <v>23</v>
      </c>
      <c r="D118" t="s">
        <v>146</v>
      </c>
      <c r="E118" t="s">
        <v>71</v>
      </c>
      <c r="F118" s="13" cm="1">
        <f t="array" ref="F118">_xlfn.SWITCH(B118,
2024,INDEX('2024_budget'!$B$59:$M$69,MATCH(E118,'2024_budget'!$A$59:$A$69,0),MATCH(C118,'2024_budget'!$B$58:$M$58,0)),
2025,INDEX('2025_budget'!$B$59:$M$69,MATCH(E118,'2025_budget'!$A$59:$A$69,0),MATCH(C118,'2025_budget'!$B$58:$M$58,0)),
2026,INDEX('2026_budget'!$B$59:$M$69,MATCH(E118,'2026_budget'!$A$59:$A$69,0),MATCH(C118,'2026_budget'!$B$58:$M$58,0))
)</f>
        <v>-33513.333333333023</v>
      </c>
      <c r="G118" s="13" cm="1">
        <f t="array" ref="G118">_xlfn.SWITCH(B118,
2024,INDEX('2024_actual'!$B$59:$M$69,MATCH(E118,'2024_actual'!$A$59:$A$69,0),MATCH(C118,'2024_actual'!$B$58:$M$58,0)),
2025,INDEX('2025_actual'!$B$59:$M$69,MATCH(E118,'2025_actual'!$A$59:$A$69,0),MATCH(C118,'2025_actual'!$B$58:$M$58,0)),
2026,INDEX('2026_actual'!$B$59:$M$69,MATCH(E118,'2026_actual'!$A$59:$A$69,0),MATCH(C118,'2026_actual'!$B$58:$M$58,0))
)</f>
        <v>-78350</v>
      </c>
      <c r="H118" s="13">
        <f t="shared" si="26"/>
        <v>-44836.666666666977</v>
      </c>
      <c r="I118" s="10" t="e">
        <f t="shared" si="16"/>
        <v>#N/A</v>
      </c>
      <c r="J118" s="6" t="str">
        <f>IF(G118&gt;=F118,"F","U")</f>
        <v>U</v>
      </c>
    </row>
    <row r="119" spans="1:10" x14ac:dyDescent="0.35">
      <c r="A119" s="26">
        <v>45689</v>
      </c>
      <c r="B119">
        <v>2025</v>
      </c>
      <c r="C119" t="s">
        <v>24</v>
      </c>
      <c r="D119" t="s">
        <v>146</v>
      </c>
      <c r="E119" t="s">
        <v>6</v>
      </c>
      <c r="F119" s="13" cm="1">
        <f t="array" ref="F119">_xlfn.SWITCH(B119,
2024,INDEX('2024_budget'!$B$59:$M$69,MATCH(E119,'2024_budget'!$A$59:$A$69,0),MATCH(C119,'2024_budget'!$B$58:$M$58,0)),
2025,INDEX('2025_budget'!$B$59:$M$69,MATCH(E119,'2025_budget'!$A$59:$A$69,0),MATCH(C119,'2025_budget'!$B$58:$M$58,0)),
2026,INDEX('2026_budget'!$B$59:$M$69,MATCH(E119,'2026_budget'!$A$59:$A$69,0),MATCH(C119,'2026_budget'!$B$58:$M$58,0))
)</f>
        <v>3220000.0000000005</v>
      </c>
      <c r="G119" s="13" cm="1">
        <f t="array" ref="G119">_xlfn.SWITCH(B119,
2024,INDEX('2024_actual'!$B$59:$M$69,MATCH(E119,'2024_actual'!$A$59:$A$69,0),MATCH(C119,'2024_actual'!$B$58:$M$58,0)),
2025,INDEX('2025_actual'!$B$59:$M$69,MATCH(E119,'2025_actual'!$A$59:$A$69,0),MATCH(C119,'2025_actual'!$B$58:$M$58,0)),
2026,INDEX('2026_actual'!$B$59:$M$69,MATCH(E119,'2026_actual'!$A$59:$A$69,0),MATCH(C119,'2026_actual'!$B$58:$M$58,0))
)</f>
        <v>3215000</v>
      </c>
      <c r="H119" s="13">
        <f>G119-F119</f>
        <v>-5000.0000000004657</v>
      </c>
      <c r="I119" s="10">
        <f t="shared" si="16"/>
        <v>-1.5527950310560449E-3</v>
      </c>
      <c r="J119" s="6" t="str">
        <f>IF(G119&gt;=F119,"F","U")</f>
        <v>U</v>
      </c>
    </row>
    <row r="120" spans="1:10" x14ac:dyDescent="0.35">
      <c r="A120" s="26">
        <v>45689</v>
      </c>
      <c r="B120">
        <v>2025</v>
      </c>
      <c r="C120" t="s">
        <v>24</v>
      </c>
      <c r="D120" t="s">
        <v>11</v>
      </c>
      <c r="E120" t="s">
        <v>64</v>
      </c>
      <c r="F120" s="13" cm="1">
        <f t="array" ref="F120">_xlfn.SWITCH(B120,
2024,INDEX('2024_budget'!$B$59:$M$69,MATCH(E120,'2024_budget'!$A$59:$A$69,0),MATCH(C120,'2024_budget'!$B$58:$M$58,0)),
2025,INDEX('2025_budget'!$B$59:$M$69,MATCH(E120,'2025_budget'!$A$59:$A$69,0),MATCH(C120,'2025_budget'!$B$58:$M$58,0)),
2026,INDEX('2026_budget'!$B$59:$M$69,MATCH(E120,'2026_budget'!$A$59:$A$69,0),MATCH(C120,'2026_budget'!$B$58:$M$58,0))
)</f>
        <v>743483.33333333337</v>
      </c>
      <c r="G120" s="13" cm="1">
        <f t="array" ref="G120">_xlfn.SWITCH(B120,
2024,INDEX('2024_actual'!$B$59:$M$69,MATCH(E120,'2024_actual'!$A$59:$A$69,0),MATCH(C120,'2024_actual'!$B$58:$M$58,0)),
2025,INDEX('2025_actual'!$B$59:$M$69,MATCH(E120,'2025_actual'!$A$59:$A$69,0),MATCH(C120,'2025_actual'!$B$58:$M$58,0)),
2026,INDEX('2026_actual'!$B$59:$M$69,MATCH(E120,'2026_actual'!$A$59:$A$69,0),MATCH(C120,'2026_actual'!$B$58:$M$58,0))
)</f>
        <v>736250</v>
      </c>
      <c r="H120" s="13">
        <f t="shared" ref="H120:H127" si="28">G120-F120</f>
        <v>-7233.3333333333721</v>
      </c>
      <c r="I120" s="10">
        <f t="shared" si="16"/>
        <v>-9.72897845726204E-3</v>
      </c>
      <c r="J120" s="6" t="str">
        <f>IF(G120&lt;=F120,"F","U")</f>
        <v>F</v>
      </c>
    </row>
    <row r="121" spans="1:10" x14ac:dyDescent="0.35">
      <c r="A121" s="26">
        <v>45689</v>
      </c>
      <c r="B121">
        <v>2025</v>
      </c>
      <c r="C121" t="s">
        <v>24</v>
      </c>
      <c r="D121" t="s">
        <v>13</v>
      </c>
      <c r="E121" t="s">
        <v>65</v>
      </c>
      <c r="F121" s="13" cm="1">
        <f t="array" ref="F121">_xlfn.SWITCH(B121,
2024,INDEX('2024_budget'!$B$59:$M$69,MATCH(E121,'2024_budget'!$A$59:$A$69,0),MATCH(C121,'2024_budget'!$B$58:$M$58,0)),
2025,INDEX('2025_budget'!$B$59:$M$69,MATCH(E121,'2025_budget'!$A$59:$A$69,0),MATCH(C121,'2025_budget'!$B$58:$M$58,0)),
2026,INDEX('2026_budget'!$B$59:$M$69,MATCH(E121,'2026_budget'!$A$59:$A$69,0),MATCH(C121,'2026_budget'!$B$58:$M$58,0))
)</f>
        <v>418553.33333333331</v>
      </c>
      <c r="G121" s="13" cm="1">
        <f t="array" ref="G121">_xlfn.SWITCH(B121,
2024,INDEX('2024_actual'!$B$59:$M$69,MATCH(E121,'2024_actual'!$A$59:$A$69,0),MATCH(C121,'2024_actual'!$B$58:$M$58,0)),
2025,INDEX('2025_actual'!$B$59:$M$69,MATCH(E121,'2025_actual'!$A$59:$A$69,0),MATCH(C121,'2025_actual'!$B$58:$M$58,0)),
2026,INDEX('2026_actual'!$B$59:$M$69,MATCH(E121,'2026_actual'!$A$59:$A$69,0),MATCH(C121,'2026_actual'!$B$58:$M$58,0))
)</f>
        <v>428100</v>
      </c>
      <c r="H121" s="13">
        <f t="shared" si="28"/>
        <v>9546.6666666666861</v>
      </c>
      <c r="I121" s="10">
        <f t="shared" si="16"/>
        <v>2.280872210630271E-2</v>
      </c>
      <c r="J121" s="6" t="str">
        <f t="shared" ref="J121:J126" si="29">IF(G121&lt;=F121,"F","U")</f>
        <v>U</v>
      </c>
    </row>
    <row r="122" spans="1:10" x14ac:dyDescent="0.35">
      <c r="A122" s="26">
        <v>45689</v>
      </c>
      <c r="B122">
        <v>2025</v>
      </c>
      <c r="C122" t="s">
        <v>24</v>
      </c>
      <c r="D122" t="s">
        <v>10</v>
      </c>
      <c r="E122" t="s">
        <v>66</v>
      </c>
      <c r="F122" s="13" cm="1">
        <f t="array" ref="F122">_xlfn.SWITCH(B122,
2024,INDEX('2024_budget'!$B$59:$M$69,MATCH(E122,'2024_budget'!$A$59:$A$69,0),MATCH(C122,'2024_budget'!$B$58:$M$58,0)),
2025,INDEX('2025_budget'!$B$59:$M$69,MATCH(E122,'2025_budget'!$A$59:$A$69,0),MATCH(C122,'2025_budget'!$B$58:$M$58,0)),
2026,INDEX('2026_budget'!$B$59:$M$69,MATCH(E122,'2026_budget'!$A$59:$A$69,0),MATCH(C122,'2026_budget'!$B$58:$M$58,0))
)</f>
        <v>1204580</v>
      </c>
      <c r="G122" s="13" cm="1">
        <f t="array" ref="G122">_xlfn.SWITCH(B122,
2024,INDEX('2024_actual'!$B$59:$M$69,MATCH(E122,'2024_actual'!$A$59:$A$69,0),MATCH(C122,'2024_actual'!$B$58:$M$58,0)),
2025,INDEX('2025_actual'!$B$59:$M$69,MATCH(E122,'2025_actual'!$A$59:$A$69,0),MATCH(C122,'2025_actual'!$B$58:$M$58,0)),
2026,INDEX('2026_actual'!$B$59:$M$69,MATCH(E122,'2026_actual'!$A$59:$A$69,0),MATCH(C122,'2026_actual'!$B$58:$M$58,0))
)</f>
        <v>1213000</v>
      </c>
      <c r="H122" s="13">
        <f t="shared" si="28"/>
        <v>8420</v>
      </c>
      <c r="I122" s="10">
        <f t="shared" si="16"/>
        <v>6.9899882116588354E-3</v>
      </c>
      <c r="J122" s="6" t="str">
        <f t="shared" si="29"/>
        <v>U</v>
      </c>
    </row>
    <row r="123" spans="1:10" x14ac:dyDescent="0.35">
      <c r="A123" s="26">
        <v>45689</v>
      </c>
      <c r="B123">
        <v>2025</v>
      </c>
      <c r="C123" t="s">
        <v>24</v>
      </c>
      <c r="D123" t="s">
        <v>14</v>
      </c>
      <c r="E123" t="s">
        <v>67</v>
      </c>
      <c r="F123" s="13" cm="1">
        <f t="array" ref="F123">_xlfn.SWITCH(B123,
2024,INDEX('2024_budget'!$B$59:$M$69,MATCH(E123,'2024_budget'!$A$59:$A$69,0),MATCH(C123,'2024_budget'!$B$58:$M$58,0)),
2025,INDEX('2025_budget'!$B$59:$M$69,MATCH(E123,'2025_budget'!$A$59:$A$69,0),MATCH(C123,'2025_budget'!$B$58:$M$58,0)),
2026,INDEX('2026_budget'!$B$59:$M$69,MATCH(E123,'2026_budget'!$A$59:$A$69,0),MATCH(C123,'2026_budget'!$B$58:$M$58,0))
)</f>
        <v>248125</v>
      </c>
      <c r="G123" s="13" cm="1">
        <f t="array" ref="G123">_xlfn.SWITCH(B123,
2024,INDEX('2024_actual'!$B$59:$M$69,MATCH(E123,'2024_actual'!$A$59:$A$69,0),MATCH(C123,'2024_actual'!$B$58:$M$58,0)),
2025,INDEX('2025_actual'!$B$59:$M$69,MATCH(E123,'2025_actual'!$A$59:$A$69,0),MATCH(C123,'2025_actual'!$B$58:$M$58,0)),
2026,INDEX('2026_actual'!$B$59:$M$69,MATCH(E123,'2026_actual'!$A$59:$A$69,0),MATCH(C123,'2026_actual'!$B$58:$M$58,0))
)</f>
        <v>244450</v>
      </c>
      <c r="H123" s="13">
        <f t="shared" si="28"/>
        <v>-3675</v>
      </c>
      <c r="I123" s="10">
        <f t="shared" si="16"/>
        <v>-1.4811083123425692E-2</v>
      </c>
      <c r="J123" s="6" t="str">
        <f t="shared" si="29"/>
        <v>F</v>
      </c>
    </row>
    <row r="124" spans="1:10" x14ac:dyDescent="0.35">
      <c r="A124" s="26">
        <v>45689</v>
      </c>
      <c r="B124">
        <v>2025</v>
      </c>
      <c r="C124" t="s">
        <v>24</v>
      </c>
      <c r="D124" t="s">
        <v>12</v>
      </c>
      <c r="E124" t="s">
        <v>68</v>
      </c>
      <c r="F124" s="13" cm="1">
        <f t="array" ref="F124">_xlfn.SWITCH(B124,
2024,INDEX('2024_budget'!$B$59:$M$69,MATCH(E124,'2024_budget'!$A$59:$A$69,0),MATCH(C124,'2024_budget'!$B$58:$M$58,0)),
2025,INDEX('2025_budget'!$B$59:$M$69,MATCH(E124,'2025_budget'!$A$59:$A$69,0),MATCH(C124,'2025_budget'!$B$58:$M$58,0)),
2026,INDEX('2026_budget'!$B$59:$M$69,MATCH(E124,'2026_budget'!$A$59:$A$69,0),MATCH(C124,'2026_budget'!$B$58:$M$58,0))
)</f>
        <v>302665</v>
      </c>
      <c r="G124" s="13" cm="1">
        <f t="array" ref="G124">_xlfn.SWITCH(B124,
2024,INDEX('2024_actual'!$B$59:$M$69,MATCH(E124,'2024_actual'!$A$59:$A$69,0),MATCH(C124,'2024_actual'!$B$58:$M$58,0)),
2025,INDEX('2025_actual'!$B$59:$M$69,MATCH(E124,'2025_actual'!$A$59:$A$69,0),MATCH(C124,'2025_actual'!$B$58:$M$58,0)),
2026,INDEX('2026_actual'!$B$59:$M$69,MATCH(E124,'2026_actual'!$A$59:$A$69,0),MATCH(C124,'2026_actual'!$B$58:$M$58,0))
)</f>
        <v>297150</v>
      </c>
      <c r="H124" s="13">
        <f t="shared" si="28"/>
        <v>-5515</v>
      </c>
      <c r="I124" s="10">
        <f t="shared" si="16"/>
        <v>-1.8221465977235559E-2</v>
      </c>
      <c r="J124" s="6" t="str">
        <f t="shared" si="29"/>
        <v>F</v>
      </c>
    </row>
    <row r="125" spans="1:10" x14ac:dyDescent="0.35">
      <c r="A125" s="26">
        <v>45689</v>
      </c>
      <c r="B125">
        <v>2025</v>
      </c>
      <c r="C125" t="s">
        <v>24</v>
      </c>
      <c r="D125" t="s">
        <v>15</v>
      </c>
      <c r="E125" t="s">
        <v>69</v>
      </c>
      <c r="F125" s="13" cm="1">
        <f t="array" ref="F125">_xlfn.SWITCH(B125,
2024,INDEX('2024_budget'!$B$59:$M$69,MATCH(E125,'2024_budget'!$A$59:$A$69,0),MATCH(C125,'2024_budget'!$B$58:$M$58,0)),
2025,INDEX('2025_budget'!$B$59:$M$69,MATCH(E125,'2025_budget'!$A$59:$A$69,0),MATCH(C125,'2025_budget'!$B$58:$M$58,0)),
2026,INDEX('2026_budget'!$B$59:$M$69,MATCH(E125,'2026_budget'!$A$59:$A$69,0),MATCH(C125,'2026_budget'!$B$58:$M$58,0))
)</f>
        <v>336106.66666666669</v>
      </c>
      <c r="G125" s="13" cm="1">
        <f t="array" ref="G125">_xlfn.SWITCH(B125,
2024,INDEX('2024_actual'!$B$59:$M$69,MATCH(E125,'2024_actual'!$A$59:$A$69,0),MATCH(C125,'2024_actual'!$B$58:$M$58,0)),
2025,INDEX('2025_actual'!$B$59:$M$69,MATCH(E125,'2025_actual'!$A$59:$A$69,0),MATCH(C125,'2025_actual'!$B$58:$M$58,0)),
2026,INDEX('2026_actual'!$B$59:$M$69,MATCH(E125,'2026_actual'!$A$59:$A$69,0),MATCH(C125,'2026_actual'!$B$58:$M$58,0))
)</f>
        <v>331900</v>
      </c>
      <c r="H125" s="13">
        <f t="shared" si="28"/>
        <v>-4206.6666666666861</v>
      </c>
      <c r="I125" s="10">
        <f t="shared" si="16"/>
        <v>-1.2515867978419606E-2</v>
      </c>
      <c r="J125" s="6" t="str">
        <f t="shared" si="29"/>
        <v>F</v>
      </c>
    </row>
    <row r="126" spans="1:10" x14ac:dyDescent="0.35">
      <c r="A126" s="26">
        <v>45689</v>
      </c>
      <c r="B126">
        <v>2025</v>
      </c>
      <c r="C126" t="s">
        <v>24</v>
      </c>
      <c r="D126" t="s">
        <v>146</v>
      </c>
      <c r="E126" t="s">
        <v>70</v>
      </c>
      <c r="F126" s="13" cm="1">
        <f t="array" ref="F126">_xlfn.SWITCH(B126,
2024,INDEX('2024_budget'!$B$59:$M$69,MATCH(E126,'2024_budget'!$A$59:$A$69,0),MATCH(C126,'2024_budget'!$B$58:$M$58,0)),
2025,INDEX('2025_budget'!$B$59:$M$69,MATCH(E126,'2025_budget'!$A$59:$A$69,0),MATCH(C126,'2025_budget'!$B$58:$M$58,0)),
2026,INDEX('2026_budget'!$B$59:$M$69,MATCH(E126,'2026_budget'!$A$59:$A$69,0),MATCH(C126,'2026_budget'!$B$58:$M$58,0))
)</f>
        <v>3253513.3333333335</v>
      </c>
      <c r="G126" s="13" cm="1">
        <f t="array" ref="G126">_xlfn.SWITCH(B126,
2024,INDEX('2024_actual'!$B$59:$M$69,MATCH(E126,'2024_actual'!$A$59:$A$69,0),MATCH(C126,'2024_actual'!$B$58:$M$58,0)),
2025,INDEX('2025_actual'!$B$59:$M$69,MATCH(E126,'2025_actual'!$A$59:$A$69,0),MATCH(C126,'2025_actual'!$B$58:$M$58,0)),
2026,INDEX('2026_actual'!$B$59:$M$69,MATCH(E126,'2026_actual'!$A$59:$A$69,0),MATCH(C126,'2026_actual'!$B$58:$M$58,0))
)</f>
        <v>3250850</v>
      </c>
      <c r="H126" s="13">
        <f t="shared" si="28"/>
        <v>-2663.3333333334886</v>
      </c>
      <c r="I126" s="10">
        <f t="shared" si="16"/>
        <v>-8.1860224946575348E-4</v>
      </c>
      <c r="J126" s="6" t="str">
        <f t="shared" si="29"/>
        <v>F</v>
      </c>
    </row>
    <row r="127" spans="1:10" x14ac:dyDescent="0.35">
      <c r="A127" s="26">
        <v>45689</v>
      </c>
      <c r="B127">
        <v>2025</v>
      </c>
      <c r="C127" t="s">
        <v>24</v>
      </c>
      <c r="D127" t="s">
        <v>146</v>
      </c>
      <c r="E127" t="s">
        <v>71</v>
      </c>
      <c r="F127" s="13" cm="1">
        <f t="array" ref="F127">_xlfn.SWITCH(B127,
2024,INDEX('2024_budget'!$B$59:$M$69,MATCH(E127,'2024_budget'!$A$59:$A$69,0),MATCH(C127,'2024_budget'!$B$58:$M$58,0)),
2025,INDEX('2025_budget'!$B$59:$M$69,MATCH(E127,'2025_budget'!$A$59:$A$69,0),MATCH(C127,'2025_budget'!$B$58:$M$58,0)),
2026,INDEX('2026_budget'!$B$59:$M$69,MATCH(E127,'2026_budget'!$A$59:$A$69,0),MATCH(C127,'2026_budget'!$B$58:$M$58,0))
)</f>
        <v>-33513.333333333023</v>
      </c>
      <c r="G127" s="13" cm="1">
        <f t="array" ref="G127">_xlfn.SWITCH(B127,
2024,INDEX('2024_actual'!$B$59:$M$69,MATCH(E127,'2024_actual'!$A$59:$A$69,0),MATCH(C127,'2024_actual'!$B$58:$M$58,0)),
2025,INDEX('2025_actual'!$B$59:$M$69,MATCH(E127,'2025_actual'!$A$59:$A$69,0),MATCH(C127,'2025_actual'!$B$58:$M$58,0)),
2026,INDEX('2026_actual'!$B$59:$M$69,MATCH(E127,'2026_actual'!$A$59:$A$69,0),MATCH(C127,'2026_actual'!$B$58:$M$58,0))
)</f>
        <v>-35850</v>
      </c>
      <c r="H127" s="13">
        <f t="shared" si="28"/>
        <v>-2336.6666666669771</v>
      </c>
      <c r="I127" s="10" t="e">
        <f t="shared" si="16"/>
        <v>#N/A</v>
      </c>
      <c r="J127" s="6" t="str">
        <f>IF(G127&gt;=F127,"F","U")</f>
        <v>U</v>
      </c>
    </row>
    <row r="128" spans="1:10" x14ac:dyDescent="0.35">
      <c r="A128" s="26">
        <v>45717</v>
      </c>
      <c r="B128">
        <v>2025</v>
      </c>
      <c r="C128" t="s">
        <v>25</v>
      </c>
      <c r="D128" t="s">
        <v>146</v>
      </c>
      <c r="E128" t="s">
        <v>6</v>
      </c>
      <c r="F128" s="13" cm="1">
        <f t="array" ref="F128">_xlfn.SWITCH(B128,
2024,INDEX('2024_budget'!$B$59:$M$69,MATCH(E128,'2024_budget'!$A$59:$A$69,0),MATCH(C128,'2024_budget'!$B$58:$M$58,0)),
2025,INDEX('2025_budget'!$B$59:$M$69,MATCH(E128,'2025_budget'!$A$59:$A$69,0),MATCH(C128,'2025_budget'!$B$58:$M$58,0)),
2026,INDEX('2026_budget'!$B$59:$M$69,MATCH(E128,'2026_budget'!$A$59:$A$69,0),MATCH(C128,'2026_budget'!$B$58:$M$58,0))
)</f>
        <v>3680000</v>
      </c>
      <c r="G128" s="13" cm="1">
        <f t="array" ref="G128">_xlfn.SWITCH(B128,
2024,INDEX('2024_actual'!$B$59:$M$69,MATCH(E128,'2024_actual'!$A$59:$A$69,0),MATCH(C128,'2024_actual'!$B$58:$M$58,0)),
2025,INDEX('2025_actual'!$B$59:$M$69,MATCH(E128,'2025_actual'!$A$59:$A$69,0),MATCH(C128,'2025_actual'!$B$58:$M$58,0)),
2026,INDEX('2026_actual'!$B$59:$M$69,MATCH(E128,'2026_actual'!$A$59:$A$69,0),MATCH(C128,'2026_actual'!$B$58:$M$58,0))
)</f>
        <v>3650000</v>
      </c>
      <c r="H128" s="13">
        <f>G128-F128</f>
        <v>-30000</v>
      </c>
      <c r="I128" s="10">
        <f t="shared" si="16"/>
        <v>-8.152173913043478E-3</v>
      </c>
      <c r="J128" s="6" t="str">
        <f>IF(G128&gt;=F128,"F","U")</f>
        <v>U</v>
      </c>
    </row>
    <row r="129" spans="1:10" x14ac:dyDescent="0.35">
      <c r="A129" s="26">
        <v>45717</v>
      </c>
      <c r="B129">
        <v>2025</v>
      </c>
      <c r="C129" t="s">
        <v>25</v>
      </c>
      <c r="D129" t="s">
        <v>11</v>
      </c>
      <c r="E129" t="s">
        <v>64</v>
      </c>
      <c r="F129" s="13" cm="1">
        <f t="array" ref="F129">_xlfn.SWITCH(B129,
2024,INDEX('2024_budget'!$B$59:$M$69,MATCH(E129,'2024_budget'!$A$59:$A$69,0),MATCH(C129,'2024_budget'!$B$58:$M$58,0)),
2025,INDEX('2025_budget'!$B$59:$M$69,MATCH(E129,'2025_budget'!$A$59:$A$69,0),MATCH(C129,'2025_budget'!$B$58:$M$58,0)),
2026,INDEX('2026_budget'!$B$59:$M$69,MATCH(E129,'2026_budget'!$A$59:$A$69,0),MATCH(C129,'2026_budget'!$B$58:$M$58,0))
)</f>
        <v>764183.33333333337</v>
      </c>
      <c r="G129" s="13" cm="1">
        <f t="array" ref="G129">_xlfn.SWITCH(B129,
2024,INDEX('2024_actual'!$B$59:$M$69,MATCH(E129,'2024_actual'!$A$59:$A$69,0),MATCH(C129,'2024_actual'!$B$58:$M$58,0)),
2025,INDEX('2025_actual'!$B$59:$M$69,MATCH(E129,'2025_actual'!$A$59:$A$69,0),MATCH(C129,'2025_actual'!$B$58:$M$58,0)),
2026,INDEX('2026_actual'!$B$59:$M$69,MATCH(E129,'2026_actual'!$A$59:$A$69,0),MATCH(C129,'2026_actual'!$B$58:$M$58,0))
)</f>
        <v>760250</v>
      </c>
      <c r="H129" s="13">
        <f t="shared" ref="H129:H136" si="30">G129-F129</f>
        <v>-3933.3333333333721</v>
      </c>
      <c r="I129" s="10">
        <f t="shared" si="16"/>
        <v>-5.1471069333275683E-3</v>
      </c>
      <c r="J129" s="6" t="str">
        <f>IF(G129&lt;=F129,"F","U")</f>
        <v>F</v>
      </c>
    </row>
    <row r="130" spans="1:10" x14ac:dyDescent="0.35">
      <c r="A130" s="26">
        <v>45717</v>
      </c>
      <c r="B130">
        <v>2025</v>
      </c>
      <c r="C130" t="s">
        <v>25</v>
      </c>
      <c r="D130" t="s">
        <v>13</v>
      </c>
      <c r="E130" t="s">
        <v>65</v>
      </c>
      <c r="F130" s="13" cm="1">
        <f t="array" ref="F130">_xlfn.SWITCH(B130,
2024,INDEX('2024_budget'!$B$59:$M$69,MATCH(E130,'2024_budget'!$A$59:$A$69,0),MATCH(C130,'2024_budget'!$B$58:$M$58,0)),
2025,INDEX('2025_budget'!$B$59:$M$69,MATCH(E130,'2025_budget'!$A$59:$A$69,0),MATCH(C130,'2025_budget'!$B$58:$M$58,0)),
2026,INDEX('2026_budget'!$B$59:$M$69,MATCH(E130,'2026_budget'!$A$59:$A$69,0),MATCH(C130,'2026_budget'!$B$58:$M$58,0))
)</f>
        <v>446153.33333333331</v>
      </c>
      <c r="G130" s="13" cm="1">
        <f t="array" ref="G130">_xlfn.SWITCH(B130,
2024,INDEX('2024_actual'!$B$59:$M$69,MATCH(E130,'2024_actual'!$A$59:$A$69,0),MATCH(C130,'2024_actual'!$B$58:$M$58,0)),
2025,INDEX('2025_actual'!$B$59:$M$69,MATCH(E130,'2025_actual'!$A$59:$A$69,0),MATCH(C130,'2025_actual'!$B$58:$M$58,0)),
2026,INDEX('2026_actual'!$B$59:$M$69,MATCH(E130,'2026_actual'!$A$59:$A$69,0),MATCH(C130,'2026_actual'!$B$58:$M$58,0))
)</f>
        <v>449300</v>
      </c>
      <c r="H130" s="13">
        <f t="shared" si="30"/>
        <v>3146.6666666666861</v>
      </c>
      <c r="I130" s="10">
        <f t="shared" si="16"/>
        <v>7.0528816699789746E-3</v>
      </c>
      <c r="J130" s="6" t="str">
        <f t="shared" ref="J130:J135" si="31">IF(G130&lt;=F130,"F","U")</f>
        <v>U</v>
      </c>
    </row>
    <row r="131" spans="1:10" x14ac:dyDescent="0.35">
      <c r="A131" s="26">
        <v>45717</v>
      </c>
      <c r="B131">
        <v>2025</v>
      </c>
      <c r="C131" t="s">
        <v>25</v>
      </c>
      <c r="D131" t="s">
        <v>10</v>
      </c>
      <c r="E131" t="s">
        <v>66</v>
      </c>
      <c r="F131" s="13" cm="1">
        <f t="array" ref="F131">_xlfn.SWITCH(B131,
2024,INDEX('2024_budget'!$B$59:$M$69,MATCH(E131,'2024_budget'!$A$59:$A$69,0),MATCH(C131,'2024_budget'!$B$58:$M$58,0)),
2025,INDEX('2025_budget'!$B$59:$M$69,MATCH(E131,'2025_budget'!$A$59:$A$69,0),MATCH(C131,'2025_budget'!$B$58:$M$58,0)),
2026,INDEX('2026_budget'!$B$59:$M$69,MATCH(E131,'2026_budget'!$A$59:$A$69,0),MATCH(C131,'2026_budget'!$B$58:$M$58,0))
)</f>
        <v>1222980</v>
      </c>
      <c r="G131" s="13" cm="1">
        <f t="array" ref="G131">_xlfn.SWITCH(B131,
2024,INDEX('2024_actual'!$B$59:$M$69,MATCH(E131,'2024_actual'!$A$59:$A$69,0),MATCH(C131,'2024_actual'!$B$58:$M$58,0)),
2025,INDEX('2025_actual'!$B$59:$M$69,MATCH(E131,'2025_actual'!$A$59:$A$69,0),MATCH(C131,'2025_actual'!$B$58:$M$58,0)),
2026,INDEX('2026_actual'!$B$59:$M$69,MATCH(E131,'2026_actual'!$A$59:$A$69,0),MATCH(C131,'2026_actual'!$B$58:$M$58,0))
)</f>
        <v>1224000</v>
      </c>
      <c r="H131" s="13">
        <f t="shared" si="30"/>
        <v>1020</v>
      </c>
      <c r="I131" s="10">
        <f t="shared" ref="I131:I194" si="32">IF(AND(E131="Operating Profit",F131&lt;=0),NA(),IFERROR(H131/F131,0))</f>
        <v>8.3402835696413675E-4</v>
      </c>
      <c r="J131" s="6" t="str">
        <f t="shared" si="31"/>
        <v>U</v>
      </c>
    </row>
    <row r="132" spans="1:10" x14ac:dyDescent="0.35">
      <c r="A132" s="26">
        <v>45717</v>
      </c>
      <c r="B132">
        <v>2025</v>
      </c>
      <c r="C132" t="s">
        <v>25</v>
      </c>
      <c r="D132" t="s">
        <v>14</v>
      </c>
      <c r="E132" t="s">
        <v>67</v>
      </c>
      <c r="F132" s="13" cm="1">
        <f t="array" ref="F132">_xlfn.SWITCH(B132,
2024,INDEX('2024_budget'!$B$59:$M$69,MATCH(E132,'2024_budget'!$A$59:$A$69,0),MATCH(C132,'2024_budget'!$B$58:$M$58,0)),
2025,INDEX('2025_budget'!$B$59:$M$69,MATCH(E132,'2025_budget'!$A$59:$A$69,0),MATCH(C132,'2025_budget'!$B$58:$M$58,0)),
2026,INDEX('2026_budget'!$B$59:$M$69,MATCH(E132,'2026_budget'!$A$59:$A$69,0),MATCH(C132,'2026_budget'!$B$58:$M$58,0))
)</f>
        <v>248125</v>
      </c>
      <c r="G132" s="13" cm="1">
        <f t="array" ref="G132">_xlfn.SWITCH(B132,
2024,INDEX('2024_actual'!$B$59:$M$69,MATCH(E132,'2024_actual'!$A$59:$A$69,0),MATCH(C132,'2024_actual'!$B$58:$M$58,0)),
2025,INDEX('2025_actual'!$B$59:$M$69,MATCH(E132,'2025_actual'!$A$59:$A$69,0),MATCH(C132,'2025_actual'!$B$58:$M$58,0)),
2026,INDEX('2026_actual'!$B$59:$M$69,MATCH(E132,'2026_actual'!$A$59:$A$69,0),MATCH(C132,'2026_actual'!$B$58:$M$58,0))
)</f>
        <v>246650</v>
      </c>
      <c r="H132" s="13">
        <f t="shared" si="30"/>
        <v>-1475</v>
      </c>
      <c r="I132" s="10">
        <f t="shared" si="32"/>
        <v>-5.9445843828715367E-3</v>
      </c>
      <c r="J132" s="6" t="str">
        <f t="shared" si="31"/>
        <v>F</v>
      </c>
    </row>
    <row r="133" spans="1:10" x14ac:dyDescent="0.35">
      <c r="A133" s="26">
        <v>45717</v>
      </c>
      <c r="B133">
        <v>2025</v>
      </c>
      <c r="C133" t="s">
        <v>25</v>
      </c>
      <c r="D133" t="s">
        <v>12</v>
      </c>
      <c r="E133" t="s">
        <v>68</v>
      </c>
      <c r="F133" s="13" cm="1">
        <f t="array" ref="F133">_xlfn.SWITCH(B133,
2024,INDEX('2024_budget'!$B$59:$M$69,MATCH(E133,'2024_budget'!$A$59:$A$69,0),MATCH(C133,'2024_budget'!$B$58:$M$58,0)),
2025,INDEX('2025_budget'!$B$59:$M$69,MATCH(E133,'2025_budget'!$A$59:$A$69,0),MATCH(C133,'2025_budget'!$B$58:$M$58,0)),
2026,INDEX('2026_budget'!$B$59:$M$69,MATCH(E133,'2026_budget'!$A$59:$A$69,0),MATCH(C133,'2026_budget'!$B$58:$M$58,0))
)</f>
        <v>302665</v>
      </c>
      <c r="G133" s="13" cm="1">
        <f t="array" ref="G133">_xlfn.SWITCH(B133,
2024,INDEX('2024_actual'!$B$59:$M$69,MATCH(E133,'2024_actual'!$A$59:$A$69,0),MATCH(C133,'2024_actual'!$B$58:$M$58,0)),
2025,INDEX('2025_actual'!$B$59:$M$69,MATCH(E133,'2025_actual'!$A$59:$A$69,0),MATCH(C133,'2025_actual'!$B$58:$M$58,0)),
2026,INDEX('2026_actual'!$B$59:$M$69,MATCH(E133,'2026_actual'!$A$59:$A$69,0),MATCH(C133,'2026_actual'!$B$58:$M$58,0))
)</f>
        <v>298350</v>
      </c>
      <c r="H133" s="13">
        <f t="shared" si="30"/>
        <v>-4315</v>
      </c>
      <c r="I133" s="10">
        <f t="shared" si="32"/>
        <v>-1.4256686435497993E-2</v>
      </c>
      <c r="J133" s="6" t="str">
        <f t="shared" si="31"/>
        <v>F</v>
      </c>
    </row>
    <row r="134" spans="1:10" x14ac:dyDescent="0.35">
      <c r="A134" s="26">
        <v>45717</v>
      </c>
      <c r="B134">
        <v>2025</v>
      </c>
      <c r="C134" t="s">
        <v>25</v>
      </c>
      <c r="D134" t="s">
        <v>15</v>
      </c>
      <c r="E134" t="s">
        <v>69</v>
      </c>
      <c r="F134" s="13" cm="1">
        <f t="array" ref="F134">_xlfn.SWITCH(B134,
2024,INDEX('2024_budget'!$B$59:$M$69,MATCH(E134,'2024_budget'!$A$59:$A$69,0),MATCH(C134,'2024_budget'!$B$58:$M$58,0)),
2025,INDEX('2025_budget'!$B$59:$M$69,MATCH(E134,'2025_budget'!$A$59:$A$69,0),MATCH(C134,'2025_budget'!$B$58:$M$58,0)),
2026,INDEX('2026_budget'!$B$59:$M$69,MATCH(E134,'2026_budget'!$A$59:$A$69,0),MATCH(C134,'2026_budget'!$B$58:$M$58,0))
)</f>
        <v>336106.66666666669</v>
      </c>
      <c r="G134" s="13" cm="1">
        <f t="array" ref="G134">_xlfn.SWITCH(B134,
2024,INDEX('2024_actual'!$B$59:$M$69,MATCH(E134,'2024_actual'!$A$59:$A$69,0),MATCH(C134,'2024_actual'!$B$58:$M$58,0)),
2025,INDEX('2025_actual'!$B$59:$M$69,MATCH(E134,'2025_actual'!$A$59:$A$69,0),MATCH(C134,'2025_actual'!$B$58:$M$58,0)),
2026,INDEX('2026_actual'!$B$59:$M$69,MATCH(E134,'2026_actual'!$A$59:$A$69,0),MATCH(C134,'2026_actual'!$B$58:$M$58,0))
)</f>
        <v>334100</v>
      </c>
      <c r="H134" s="13">
        <f t="shared" si="30"/>
        <v>-2006.6666666666861</v>
      </c>
      <c r="I134" s="10">
        <f t="shared" si="32"/>
        <v>-5.9703268803555001E-3</v>
      </c>
      <c r="J134" s="6" t="str">
        <f t="shared" si="31"/>
        <v>F</v>
      </c>
    </row>
    <row r="135" spans="1:10" x14ac:dyDescent="0.35">
      <c r="A135" s="26">
        <v>45717</v>
      </c>
      <c r="B135">
        <v>2025</v>
      </c>
      <c r="C135" t="s">
        <v>25</v>
      </c>
      <c r="D135" t="s">
        <v>146</v>
      </c>
      <c r="E135" t="s">
        <v>70</v>
      </c>
      <c r="F135" s="13" cm="1">
        <f t="array" ref="F135">_xlfn.SWITCH(B135,
2024,INDEX('2024_budget'!$B$59:$M$69,MATCH(E135,'2024_budget'!$A$59:$A$69,0),MATCH(C135,'2024_budget'!$B$58:$M$58,0)),
2025,INDEX('2025_budget'!$B$59:$M$69,MATCH(E135,'2025_budget'!$A$59:$A$69,0),MATCH(C135,'2025_budget'!$B$58:$M$58,0)),
2026,INDEX('2026_budget'!$B$59:$M$69,MATCH(E135,'2026_budget'!$A$59:$A$69,0),MATCH(C135,'2026_budget'!$B$58:$M$58,0))
)</f>
        <v>3320213.3333333335</v>
      </c>
      <c r="G135" s="13" cm="1">
        <f t="array" ref="G135">_xlfn.SWITCH(B135,
2024,INDEX('2024_actual'!$B$59:$M$69,MATCH(E135,'2024_actual'!$A$59:$A$69,0),MATCH(C135,'2024_actual'!$B$58:$M$58,0)),
2025,INDEX('2025_actual'!$B$59:$M$69,MATCH(E135,'2025_actual'!$A$59:$A$69,0),MATCH(C135,'2025_actual'!$B$58:$M$58,0)),
2026,INDEX('2026_actual'!$B$59:$M$69,MATCH(E135,'2026_actual'!$A$59:$A$69,0),MATCH(C135,'2026_actual'!$B$58:$M$58,0))
)</f>
        <v>3312650</v>
      </c>
      <c r="H135" s="13">
        <f t="shared" si="30"/>
        <v>-7563.3333333334886</v>
      </c>
      <c r="I135" s="10">
        <f t="shared" si="32"/>
        <v>-2.2779660744691572E-3</v>
      </c>
      <c r="J135" s="6" t="str">
        <f t="shared" si="31"/>
        <v>F</v>
      </c>
    </row>
    <row r="136" spans="1:10" x14ac:dyDescent="0.35">
      <c r="A136" s="26">
        <v>45717</v>
      </c>
      <c r="B136">
        <v>2025</v>
      </c>
      <c r="C136" t="s">
        <v>25</v>
      </c>
      <c r="D136" t="s">
        <v>146</v>
      </c>
      <c r="E136" t="s">
        <v>71</v>
      </c>
      <c r="F136" s="13" cm="1">
        <f t="array" ref="F136">_xlfn.SWITCH(B136,
2024,INDEX('2024_budget'!$B$59:$M$69,MATCH(E136,'2024_budget'!$A$59:$A$69,0),MATCH(C136,'2024_budget'!$B$58:$M$58,0)),
2025,INDEX('2025_budget'!$B$59:$M$69,MATCH(E136,'2025_budget'!$A$59:$A$69,0),MATCH(C136,'2025_budget'!$B$58:$M$58,0)),
2026,INDEX('2026_budget'!$B$59:$M$69,MATCH(E136,'2026_budget'!$A$59:$A$69,0),MATCH(C136,'2026_budget'!$B$58:$M$58,0))
)</f>
        <v>359786.66666666651</v>
      </c>
      <c r="G136" s="13" cm="1">
        <f t="array" ref="G136">_xlfn.SWITCH(B136,
2024,INDEX('2024_actual'!$B$59:$M$69,MATCH(E136,'2024_actual'!$A$59:$A$69,0),MATCH(C136,'2024_actual'!$B$58:$M$58,0)),
2025,INDEX('2025_actual'!$B$59:$M$69,MATCH(E136,'2025_actual'!$A$59:$A$69,0),MATCH(C136,'2025_actual'!$B$58:$M$58,0)),
2026,INDEX('2026_actual'!$B$59:$M$69,MATCH(E136,'2026_actual'!$A$59:$A$69,0),MATCH(C136,'2026_actual'!$B$58:$M$58,0))
)</f>
        <v>337350</v>
      </c>
      <c r="H136" s="13">
        <f t="shared" si="30"/>
        <v>-22436.666666666511</v>
      </c>
      <c r="I136" s="10">
        <f t="shared" si="32"/>
        <v>-6.2361028757781982E-2</v>
      </c>
      <c r="J136" s="6" t="str">
        <f>IF(G136&gt;=F136,"F","U")</f>
        <v>U</v>
      </c>
    </row>
    <row r="137" spans="1:10" x14ac:dyDescent="0.35">
      <c r="A137" s="26">
        <v>45748</v>
      </c>
      <c r="B137">
        <v>2025</v>
      </c>
      <c r="C137" t="s">
        <v>26</v>
      </c>
      <c r="D137" t="s">
        <v>146</v>
      </c>
      <c r="E137" t="s">
        <v>6</v>
      </c>
      <c r="F137" s="13" cm="1">
        <f t="array" ref="F137">_xlfn.SWITCH(B137,
2024,INDEX('2024_budget'!$B$59:$M$69,MATCH(E137,'2024_budget'!$A$59:$A$69,0),MATCH(C137,'2024_budget'!$B$58:$M$58,0)),
2025,INDEX('2025_budget'!$B$59:$M$69,MATCH(E137,'2025_budget'!$A$59:$A$69,0),MATCH(C137,'2025_budget'!$B$58:$M$58,0)),
2026,INDEX('2026_budget'!$B$59:$M$69,MATCH(E137,'2026_budget'!$A$59:$A$69,0),MATCH(C137,'2026_budget'!$B$58:$M$58,0))
)</f>
        <v>3680000</v>
      </c>
      <c r="G137" s="13" cm="1">
        <f t="array" ref="G137">_xlfn.SWITCH(B137,
2024,INDEX('2024_actual'!$B$59:$M$69,MATCH(E137,'2024_actual'!$A$59:$A$69,0),MATCH(C137,'2024_actual'!$B$58:$M$58,0)),
2025,INDEX('2025_actual'!$B$59:$M$69,MATCH(E137,'2025_actual'!$A$59:$A$69,0),MATCH(C137,'2025_actual'!$B$58:$M$58,0)),
2026,INDEX('2026_actual'!$B$59:$M$69,MATCH(E137,'2026_actual'!$A$59:$A$69,0),MATCH(C137,'2026_actual'!$B$58:$M$58,0))
)</f>
        <v>3700000</v>
      </c>
      <c r="H137" s="13">
        <f>G137-F137</f>
        <v>20000</v>
      </c>
      <c r="I137" s="10">
        <f t="shared" si="32"/>
        <v>5.434782608695652E-3</v>
      </c>
      <c r="J137" s="6" t="str">
        <f>IF(G137&gt;=F137,"F","U")</f>
        <v>F</v>
      </c>
    </row>
    <row r="138" spans="1:10" x14ac:dyDescent="0.35">
      <c r="A138" s="26">
        <v>45748</v>
      </c>
      <c r="B138">
        <v>2025</v>
      </c>
      <c r="C138" t="s">
        <v>26</v>
      </c>
      <c r="D138" t="s">
        <v>11</v>
      </c>
      <c r="E138" t="s">
        <v>64</v>
      </c>
      <c r="F138" s="13" cm="1">
        <f t="array" ref="F138">_xlfn.SWITCH(B138,
2024,INDEX('2024_budget'!$B$59:$M$69,MATCH(E138,'2024_budget'!$A$59:$A$69,0),MATCH(C138,'2024_budget'!$B$58:$M$58,0)),
2025,INDEX('2025_budget'!$B$59:$M$69,MATCH(E138,'2025_budget'!$A$59:$A$69,0),MATCH(C138,'2025_budget'!$B$58:$M$58,0)),
2026,INDEX('2026_budget'!$B$59:$M$69,MATCH(E138,'2026_budget'!$A$59:$A$69,0),MATCH(C138,'2026_budget'!$B$58:$M$58,0))
)</f>
        <v>764183.33333333337</v>
      </c>
      <c r="G138" s="13" cm="1">
        <f t="array" ref="G138">_xlfn.SWITCH(B138,
2024,INDEX('2024_actual'!$B$59:$M$69,MATCH(E138,'2024_actual'!$A$59:$A$69,0),MATCH(C138,'2024_actual'!$B$58:$M$58,0)),
2025,INDEX('2025_actual'!$B$59:$M$69,MATCH(E138,'2025_actual'!$A$59:$A$69,0),MATCH(C138,'2025_actual'!$B$58:$M$58,0)),
2026,INDEX('2026_actual'!$B$59:$M$69,MATCH(E138,'2026_actual'!$A$59:$A$69,0),MATCH(C138,'2026_actual'!$B$58:$M$58,0))
)</f>
        <v>762750</v>
      </c>
      <c r="H138" s="13">
        <f t="shared" ref="H138:H145" si="33">G138-F138</f>
        <v>-1433.3333333333721</v>
      </c>
      <c r="I138" s="10">
        <f t="shared" si="32"/>
        <v>-1.875640662144824E-3</v>
      </c>
      <c r="J138" s="6" t="str">
        <f>IF(G138&lt;=F138,"F","U")</f>
        <v>F</v>
      </c>
    </row>
    <row r="139" spans="1:10" x14ac:dyDescent="0.35">
      <c r="A139" s="26">
        <v>45748</v>
      </c>
      <c r="B139">
        <v>2025</v>
      </c>
      <c r="C139" t="s">
        <v>26</v>
      </c>
      <c r="D139" t="s">
        <v>13</v>
      </c>
      <c r="E139" t="s">
        <v>65</v>
      </c>
      <c r="F139" s="13" cm="1">
        <f t="array" ref="F139">_xlfn.SWITCH(B139,
2024,INDEX('2024_budget'!$B$59:$M$69,MATCH(E139,'2024_budget'!$A$59:$A$69,0),MATCH(C139,'2024_budget'!$B$58:$M$58,0)),
2025,INDEX('2025_budget'!$B$59:$M$69,MATCH(E139,'2025_budget'!$A$59:$A$69,0),MATCH(C139,'2025_budget'!$B$58:$M$58,0)),
2026,INDEX('2026_budget'!$B$59:$M$69,MATCH(E139,'2026_budget'!$A$59:$A$69,0),MATCH(C139,'2026_budget'!$B$58:$M$58,0))
)</f>
        <v>446153.33333333331</v>
      </c>
      <c r="G139" s="13" cm="1">
        <f t="array" ref="G139">_xlfn.SWITCH(B139,
2024,INDEX('2024_actual'!$B$59:$M$69,MATCH(E139,'2024_actual'!$A$59:$A$69,0),MATCH(C139,'2024_actual'!$B$58:$M$58,0)),
2025,INDEX('2025_actual'!$B$59:$M$69,MATCH(E139,'2025_actual'!$A$59:$A$69,0),MATCH(C139,'2025_actual'!$B$58:$M$58,0)),
2026,INDEX('2026_actual'!$B$59:$M$69,MATCH(E139,'2026_actual'!$A$59:$A$69,0),MATCH(C139,'2026_actual'!$B$58:$M$58,0))
)</f>
        <v>454800</v>
      </c>
      <c r="H139" s="13">
        <f t="shared" si="33"/>
        <v>8646.6666666666861</v>
      </c>
      <c r="I139" s="10">
        <f t="shared" si="32"/>
        <v>1.9380482046531131E-2</v>
      </c>
      <c r="J139" s="6" t="str">
        <f t="shared" ref="J139:J144" si="34">IF(G139&lt;=F139,"F","U")</f>
        <v>U</v>
      </c>
    </row>
    <row r="140" spans="1:10" x14ac:dyDescent="0.35">
      <c r="A140" s="26">
        <v>45748</v>
      </c>
      <c r="B140">
        <v>2025</v>
      </c>
      <c r="C140" t="s">
        <v>26</v>
      </c>
      <c r="D140" t="s">
        <v>10</v>
      </c>
      <c r="E140" t="s">
        <v>66</v>
      </c>
      <c r="F140" s="13" cm="1">
        <f t="array" ref="F140">_xlfn.SWITCH(B140,
2024,INDEX('2024_budget'!$B$59:$M$69,MATCH(E140,'2024_budget'!$A$59:$A$69,0),MATCH(C140,'2024_budget'!$B$58:$M$58,0)),
2025,INDEX('2025_budget'!$B$59:$M$69,MATCH(E140,'2025_budget'!$A$59:$A$69,0),MATCH(C140,'2025_budget'!$B$58:$M$58,0)),
2026,INDEX('2026_budget'!$B$59:$M$69,MATCH(E140,'2026_budget'!$A$59:$A$69,0),MATCH(C140,'2026_budget'!$B$58:$M$58,0))
)</f>
        <v>1222980</v>
      </c>
      <c r="G140" s="13" cm="1">
        <f t="array" ref="G140">_xlfn.SWITCH(B140,
2024,INDEX('2024_actual'!$B$59:$M$69,MATCH(E140,'2024_actual'!$A$59:$A$69,0),MATCH(C140,'2024_actual'!$B$58:$M$58,0)),
2025,INDEX('2025_actual'!$B$59:$M$69,MATCH(E140,'2025_actual'!$A$59:$A$69,0),MATCH(C140,'2025_actual'!$B$58:$M$58,0)),
2026,INDEX('2026_actual'!$B$59:$M$69,MATCH(E140,'2026_actual'!$A$59:$A$69,0),MATCH(C140,'2026_actual'!$B$58:$M$58,0))
)</f>
        <v>1227000</v>
      </c>
      <c r="H140" s="13">
        <f t="shared" si="33"/>
        <v>4020</v>
      </c>
      <c r="I140" s="10">
        <f t="shared" si="32"/>
        <v>3.2870529362704214E-3</v>
      </c>
      <c r="J140" s="6" t="str">
        <f t="shared" si="34"/>
        <v>U</v>
      </c>
    </row>
    <row r="141" spans="1:10" x14ac:dyDescent="0.35">
      <c r="A141" s="26">
        <v>45748</v>
      </c>
      <c r="B141">
        <v>2025</v>
      </c>
      <c r="C141" t="s">
        <v>26</v>
      </c>
      <c r="D141" t="s">
        <v>14</v>
      </c>
      <c r="E141" t="s">
        <v>67</v>
      </c>
      <c r="F141" s="13" cm="1">
        <f t="array" ref="F141">_xlfn.SWITCH(B141,
2024,INDEX('2024_budget'!$B$59:$M$69,MATCH(E141,'2024_budget'!$A$59:$A$69,0),MATCH(C141,'2024_budget'!$B$58:$M$58,0)),
2025,INDEX('2025_budget'!$B$59:$M$69,MATCH(E141,'2025_budget'!$A$59:$A$69,0),MATCH(C141,'2025_budget'!$B$58:$M$58,0)),
2026,INDEX('2026_budget'!$B$59:$M$69,MATCH(E141,'2026_budget'!$A$59:$A$69,0),MATCH(C141,'2026_budget'!$B$58:$M$58,0))
)</f>
        <v>248125</v>
      </c>
      <c r="G141" s="13" cm="1">
        <f t="array" ref="G141">_xlfn.SWITCH(B141,
2024,INDEX('2024_actual'!$B$59:$M$69,MATCH(E141,'2024_actual'!$A$59:$A$69,0),MATCH(C141,'2024_actual'!$B$58:$M$58,0)),
2025,INDEX('2025_actual'!$B$59:$M$69,MATCH(E141,'2025_actual'!$A$59:$A$69,0),MATCH(C141,'2025_actual'!$B$58:$M$58,0)),
2026,INDEX('2026_actual'!$B$59:$M$69,MATCH(E141,'2026_actual'!$A$59:$A$69,0),MATCH(C141,'2026_actual'!$B$58:$M$58,0))
)</f>
        <v>246650</v>
      </c>
      <c r="H141" s="13">
        <f t="shared" si="33"/>
        <v>-1475</v>
      </c>
      <c r="I141" s="10">
        <f t="shared" si="32"/>
        <v>-5.9445843828715367E-3</v>
      </c>
      <c r="J141" s="6" t="str">
        <f t="shared" si="34"/>
        <v>F</v>
      </c>
    </row>
    <row r="142" spans="1:10" x14ac:dyDescent="0.35">
      <c r="A142" s="26">
        <v>45748</v>
      </c>
      <c r="B142">
        <v>2025</v>
      </c>
      <c r="C142" t="s">
        <v>26</v>
      </c>
      <c r="D142" t="s">
        <v>12</v>
      </c>
      <c r="E142" t="s">
        <v>68</v>
      </c>
      <c r="F142" s="13" cm="1">
        <f t="array" ref="F142">_xlfn.SWITCH(B142,
2024,INDEX('2024_budget'!$B$59:$M$69,MATCH(E142,'2024_budget'!$A$59:$A$69,0),MATCH(C142,'2024_budget'!$B$58:$M$58,0)),
2025,INDEX('2025_budget'!$B$59:$M$69,MATCH(E142,'2025_budget'!$A$59:$A$69,0),MATCH(C142,'2025_budget'!$B$58:$M$58,0)),
2026,INDEX('2026_budget'!$B$59:$M$69,MATCH(E142,'2026_budget'!$A$59:$A$69,0),MATCH(C142,'2026_budget'!$B$58:$M$58,0))
)</f>
        <v>302665</v>
      </c>
      <c r="G142" s="13" cm="1">
        <f t="array" ref="G142">_xlfn.SWITCH(B142,
2024,INDEX('2024_actual'!$B$59:$M$69,MATCH(E142,'2024_actual'!$A$59:$A$69,0),MATCH(C142,'2024_actual'!$B$58:$M$58,0)),
2025,INDEX('2025_actual'!$B$59:$M$69,MATCH(E142,'2025_actual'!$A$59:$A$69,0),MATCH(C142,'2025_actual'!$B$58:$M$58,0)),
2026,INDEX('2026_actual'!$B$59:$M$69,MATCH(E142,'2026_actual'!$A$59:$A$69,0),MATCH(C142,'2026_actual'!$B$58:$M$58,0))
)</f>
        <v>298850</v>
      </c>
      <c r="H142" s="13">
        <f t="shared" si="33"/>
        <v>-3815</v>
      </c>
      <c r="I142" s="10">
        <f t="shared" si="32"/>
        <v>-1.2604694959774008E-2</v>
      </c>
      <c r="J142" s="6" t="str">
        <f t="shared" si="34"/>
        <v>F</v>
      </c>
    </row>
    <row r="143" spans="1:10" x14ac:dyDescent="0.35">
      <c r="A143" s="26">
        <v>45748</v>
      </c>
      <c r="B143">
        <v>2025</v>
      </c>
      <c r="C143" t="s">
        <v>26</v>
      </c>
      <c r="D143" t="s">
        <v>15</v>
      </c>
      <c r="E143" t="s">
        <v>69</v>
      </c>
      <c r="F143" s="13" cm="1">
        <f t="array" ref="F143">_xlfn.SWITCH(B143,
2024,INDEX('2024_budget'!$B$59:$M$69,MATCH(E143,'2024_budget'!$A$59:$A$69,0),MATCH(C143,'2024_budget'!$B$58:$M$58,0)),
2025,INDEX('2025_budget'!$B$59:$M$69,MATCH(E143,'2025_budget'!$A$59:$A$69,0),MATCH(C143,'2025_budget'!$B$58:$M$58,0)),
2026,INDEX('2026_budget'!$B$59:$M$69,MATCH(E143,'2026_budget'!$A$59:$A$69,0),MATCH(C143,'2026_budget'!$B$58:$M$58,0))
)</f>
        <v>336106.66666666669</v>
      </c>
      <c r="G143" s="13" cm="1">
        <f t="array" ref="G143">_xlfn.SWITCH(B143,
2024,INDEX('2024_actual'!$B$59:$M$69,MATCH(E143,'2024_actual'!$A$59:$A$69,0),MATCH(C143,'2024_actual'!$B$58:$M$58,0)),
2025,INDEX('2025_actual'!$B$59:$M$69,MATCH(E143,'2025_actual'!$A$59:$A$69,0),MATCH(C143,'2025_actual'!$B$58:$M$58,0)),
2026,INDEX('2026_actual'!$B$59:$M$69,MATCH(E143,'2026_actual'!$A$59:$A$69,0),MATCH(C143,'2026_actual'!$B$58:$M$58,0))
)</f>
        <v>334100</v>
      </c>
      <c r="H143" s="13">
        <f t="shared" si="33"/>
        <v>-2006.6666666666861</v>
      </c>
      <c r="I143" s="10">
        <f t="shared" si="32"/>
        <v>-5.9703268803555001E-3</v>
      </c>
      <c r="J143" s="6" t="str">
        <f t="shared" si="34"/>
        <v>F</v>
      </c>
    </row>
    <row r="144" spans="1:10" x14ac:dyDescent="0.35">
      <c r="A144" s="26">
        <v>45748</v>
      </c>
      <c r="B144">
        <v>2025</v>
      </c>
      <c r="C144" t="s">
        <v>26</v>
      </c>
      <c r="D144" t="s">
        <v>146</v>
      </c>
      <c r="E144" t="s">
        <v>70</v>
      </c>
      <c r="F144" s="13" cm="1">
        <f t="array" ref="F144">_xlfn.SWITCH(B144,
2024,INDEX('2024_budget'!$B$59:$M$69,MATCH(E144,'2024_budget'!$A$59:$A$69,0),MATCH(C144,'2024_budget'!$B$58:$M$58,0)),
2025,INDEX('2025_budget'!$B$59:$M$69,MATCH(E144,'2025_budget'!$A$59:$A$69,0),MATCH(C144,'2025_budget'!$B$58:$M$58,0)),
2026,INDEX('2026_budget'!$B$59:$M$69,MATCH(E144,'2026_budget'!$A$59:$A$69,0),MATCH(C144,'2026_budget'!$B$58:$M$58,0))
)</f>
        <v>3320213.3333333335</v>
      </c>
      <c r="G144" s="13" cm="1">
        <f t="array" ref="G144">_xlfn.SWITCH(B144,
2024,INDEX('2024_actual'!$B$59:$M$69,MATCH(E144,'2024_actual'!$A$59:$A$69,0),MATCH(C144,'2024_actual'!$B$58:$M$58,0)),
2025,INDEX('2025_actual'!$B$59:$M$69,MATCH(E144,'2025_actual'!$A$59:$A$69,0),MATCH(C144,'2025_actual'!$B$58:$M$58,0)),
2026,INDEX('2026_actual'!$B$59:$M$69,MATCH(E144,'2026_actual'!$A$59:$A$69,0),MATCH(C144,'2026_actual'!$B$58:$M$58,0))
)</f>
        <v>3324150</v>
      </c>
      <c r="H144" s="13">
        <f t="shared" si="33"/>
        <v>3936.6666666665114</v>
      </c>
      <c r="I144" s="10">
        <f t="shared" si="32"/>
        <v>1.1856667844636021E-3</v>
      </c>
      <c r="J144" s="6" t="str">
        <f t="shared" si="34"/>
        <v>U</v>
      </c>
    </row>
    <row r="145" spans="1:10" x14ac:dyDescent="0.35">
      <c r="A145" s="26">
        <v>45748</v>
      </c>
      <c r="B145">
        <v>2025</v>
      </c>
      <c r="C145" t="s">
        <v>26</v>
      </c>
      <c r="D145" t="s">
        <v>146</v>
      </c>
      <c r="E145" t="s">
        <v>71</v>
      </c>
      <c r="F145" s="13" cm="1">
        <f t="array" ref="F145">_xlfn.SWITCH(B145,
2024,INDEX('2024_budget'!$B$59:$M$69,MATCH(E145,'2024_budget'!$A$59:$A$69,0),MATCH(C145,'2024_budget'!$B$58:$M$58,0)),
2025,INDEX('2025_budget'!$B$59:$M$69,MATCH(E145,'2025_budget'!$A$59:$A$69,0),MATCH(C145,'2025_budget'!$B$58:$M$58,0)),
2026,INDEX('2026_budget'!$B$59:$M$69,MATCH(E145,'2026_budget'!$A$59:$A$69,0),MATCH(C145,'2026_budget'!$B$58:$M$58,0))
)</f>
        <v>359786.66666666651</v>
      </c>
      <c r="G145" s="13" cm="1">
        <f t="array" ref="G145">_xlfn.SWITCH(B145,
2024,INDEX('2024_actual'!$B$59:$M$69,MATCH(E145,'2024_actual'!$A$59:$A$69,0),MATCH(C145,'2024_actual'!$B$58:$M$58,0)),
2025,INDEX('2025_actual'!$B$59:$M$69,MATCH(E145,'2025_actual'!$A$59:$A$69,0),MATCH(C145,'2025_actual'!$B$58:$M$58,0)),
2026,INDEX('2026_actual'!$B$59:$M$69,MATCH(E145,'2026_actual'!$A$59:$A$69,0),MATCH(C145,'2026_actual'!$B$58:$M$58,0))
)</f>
        <v>375850</v>
      </c>
      <c r="H145" s="13">
        <f t="shared" si="33"/>
        <v>16063.333333333489</v>
      </c>
      <c r="I145" s="10">
        <f t="shared" si="32"/>
        <v>4.4646827749778094E-2</v>
      </c>
      <c r="J145" s="6" t="str">
        <f>IF(G145&gt;=F145,"F","U")</f>
        <v>F</v>
      </c>
    </row>
    <row r="146" spans="1:10" x14ac:dyDescent="0.35">
      <c r="A146" s="26">
        <v>45778</v>
      </c>
      <c r="B146">
        <v>2025</v>
      </c>
      <c r="C146" t="s">
        <v>27</v>
      </c>
      <c r="D146" t="s">
        <v>146</v>
      </c>
      <c r="E146" t="s">
        <v>6</v>
      </c>
      <c r="F146" s="13" cm="1">
        <f t="array" ref="F146">_xlfn.SWITCH(B146,
2024,INDEX('2024_budget'!$B$59:$M$69,MATCH(E146,'2024_budget'!$A$59:$A$69,0),MATCH(C146,'2024_budget'!$B$58:$M$58,0)),
2025,INDEX('2025_budget'!$B$59:$M$69,MATCH(E146,'2025_budget'!$A$59:$A$69,0),MATCH(C146,'2025_budget'!$B$58:$M$58,0)),
2026,INDEX('2026_budget'!$B$59:$M$69,MATCH(E146,'2026_budget'!$A$59:$A$69,0),MATCH(C146,'2026_budget'!$B$58:$M$58,0))
)</f>
        <v>3680000</v>
      </c>
      <c r="G146" s="13" cm="1">
        <f t="array" ref="G146">_xlfn.SWITCH(B146,
2024,INDEX('2024_actual'!$B$59:$M$69,MATCH(E146,'2024_actual'!$A$59:$A$69,0),MATCH(C146,'2024_actual'!$B$58:$M$58,0)),
2025,INDEX('2025_actual'!$B$59:$M$69,MATCH(E146,'2025_actual'!$A$59:$A$69,0),MATCH(C146,'2025_actual'!$B$58:$M$58,0)),
2026,INDEX('2026_actual'!$B$59:$M$69,MATCH(E146,'2026_actual'!$A$59:$A$69,0),MATCH(C146,'2026_actual'!$B$58:$M$58,0))
)</f>
        <v>3735000</v>
      </c>
      <c r="H146" s="13">
        <f>G146-F146</f>
        <v>55000</v>
      </c>
      <c r="I146" s="10">
        <f t="shared" si="32"/>
        <v>1.4945652173913044E-2</v>
      </c>
      <c r="J146" s="6" t="str">
        <f>IF(G146&gt;=F146,"F","U")</f>
        <v>F</v>
      </c>
    </row>
    <row r="147" spans="1:10" x14ac:dyDescent="0.35">
      <c r="A147" s="26">
        <v>45778</v>
      </c>
      <c r="B147">
        <v>2025</v>
      </c>
      <c r="C147" t="s">
        <v>27</v>
      </c>
      <c r="D147" t="s">
        <v>11</v>
      </c>
      <c r="E147" t="s">
        <v>64</v>
      </c>
      <c r="F147" s="13" cm="1">
        <f t="array" ref="F147">_xlfn.SWITCH(B147,
2024,INDEX('2024_budget'!$B$59:$M$69,MATCH(E147,'2024_budget'!$A$59:$A$69,0),MATCH(C147,'2024_budget'!$B$58:$M$58,0)),
2025,INDEX('2025_budget'!$B$59:$M$69,MATCH(E147,'2025_budget'!$A$59:$A$69,0),MATCH(C147,'2025_budget'!$B$58:$M$58,0)),
2026,INDEX('2026_budget'!$B$59:$M$69,MATCH(E147,'2026_budget'!$A$59:$A$69,0),MATCH(C147,'2026_budget'!$B$58:$M$58,0))
)</f>
        <v>764183.33333333337</v>
      </c>
      <c r="G147" s="13" cm="1">
        <f t="array" ref="G147">_xlfn.SWITCH(B147,
2024,INDEX('2024_actual'!$B$59:$M$69,MATCH(E147,'2024_actual'!$A$59:$A$69,0),MATCH(C147,'2024_actual'!$B$58:$M$58,0)),
2025,INDEX('2025_actual'!$B$59:$M$69,MATCH(E147,'2025_actual'!$A$59:$A$69,0),MATCH(C147,'2025_actual'!$B$58:$M$58,0)),
2026,INDEX('2026_actual'!$B$59:$M$69,MATCH(E147,'2026_actual'!$A$59:$A$69,0),MATCH(C147,'2026_actual'!$B$58:$M$58,0))
)</f>
        <v>770750</v>
      </c>
      <c r="H147" s="13">
        <f t="shared" ref="H147:H154" si="35">G147-F147</f>
        <v>6566.6666666666279</v>
      </c>
      <c r="I147" s="10">
        <f t="shared" si="32"/>
        <v>8.5930514056399565E-3</v>
      </c>
      <c r="J147" s="6" t="str">
        <f>IF(G147&lt;=F147,"F","U")</f>
        <v>U</v>
      </c>
    </row>
    <row r="148" spans="1:10" x14ac:dyDescent="0.35">
      <c r="A148" s="26">
        <v>45778</v>
      </c>
      <c r="B148">
        <v>2025</v>
      </c>
      <c r="C148" t="s">
        <v>27</v>
      </c>
      <c r="D148" t="s">
        <v>13</v>
      </c>
      <c r="E148" t="s">
        <v>65</v>
      </c>
      <c r="F148" s="13" cm="1">
        <f t="array" ref="F148">_xlfn.SWITCH(B148,
2024,INDEX('2024_budget'!$B$59:$M$69,MATCH(E148,'2024_budget'!$A$59:$A$69,0),MATCH(C148,'2024_budget'!$B$58:$M$58,0)),
2025,INDEX('2025_budget'!$B$59:$M$69,MATCH(E148,'2025_budget'!$A$59:$A$69,0),MATCH(C148,'2025_budget'!$B$58:$M$58,0)),
2026,INDEX('2026_budget'!$B$59:$M$69,MATCH(E148,'2026_budget'!$A$59:$A$69,0),MATCH(C148,'2026_budget'!$B$58:$M$58,0))
)</f>
        <v>446153.33333333331</v>
      </c>
      <c r="G148" s="13" cm="1">
        <f t="array" ref="G148">_xlfn.SWITCH(B148,
2024,INDEX('2024_actual'!$B$59:$M$69,MATCH(E148,'2024_actual'!$A$59:$A$69,0),MATCH(C148,'2024_actual'!$B$58:$M$58,0)),
2025,INDEX('2025_actual'!$B$59:$M$69,MATCH(E148,'2025_actual'!$A$59:$A$69,0),MATCH(C148,'2025_actual'!$B$58:$M$58,0)),
2026,INDEX('2026_actual'!$B$59:$M$69,MATCH(E148,'2026_actual'!$A$59:$A$69,0),MATCH(C148,'2026_actual'!$B$58:$M$58,0))
)</f>
        <v>461000</v>
      </c>
      <c r="H148" s="13">
        <f t="shared" si="35"/>
        <v>14846.666666666686</v>
      </c>
      <c r="I148" s="10">
        <f t="shared" si="32"/>
        <v>3.3277049743735382E-2</v>
      </c>
      <c r="J148" s="6" t="str">
        <f t="shared" ref="J148:J153" si="36">IF(G148&lt;=F148,"F","U")</f>
        <v>U</v>
      </c>
    </row>
    <row r="149" spans="1:10" x14ac:dyDescent="0.35">
      <c r="A149" s="26">
        <v>45778</v>
      </c>
      <c r="B149">
        <v>2025</v>
      </c>
      <c r="C149" t="s">
        <v>27</v>
      </c>
      <c r="D149" t="s">
        <v>10</v>
      </c>
      <c r="E149" t="s">
        <v>66</v>
      </c>
      <c r="F149" s="13" cm="1">
        <f t="array" ref="F149">_xlfn.SWITCH(B149,
2024,INDEX('2024_budget'!$B$59:$M$69,MATCH(E149,'2024_budget'!$A$59:$A$69,0),MATCH(C149,'2024_budget'!$B$58:$M$58,0)),
2025,INDEX('2025_budget'!$B$59:$M$69,MATCH(E149,'2025_budget'!$A$59:$A$69,0),MATCH(C149,'2025_budget'!$B$58:$M$58,0)),
2026,INDEX('2026_budget'!$B$59:$M$69,MATCH(E149,'2026_budget'!$A$59:$A$69,0),MATCH(C149,'2026_budget'!$B$58:$M$58,0))
)</f>
        <v>1222980</v>
      </c>
      <c r="G149" s="13" cm="1">
        <f t="array" ref="G149">_xlfn.SWITCH(B149,
2024,INDEX('2024_actual'!$B$59:$M$69,MATCH(E149,'2024_actual'!$A$59:$A$69,0),MATCH(C149,'2024_actual'!$B$58:$M$58,0)),
2025,INDEX('2025_actual'!$B$59:$M$69,MATCH(E149,'2025_actual'!$A$59:$A$69,0),MATCH(C149,'2025_actual'!$B$58:$M$58,0)),
2026,INDEX('2026_actual'!$B$59:$M$69,MATCH(E149,'2026_actual'!$A$59:$A$69,0),MATCH(C149,'2026_actual'!$B$58:$M$58,0))
)</f>
        <v>1235000</v>
      </c>
      <c r="H149" s="13">
        <f t="shared" si="35"/>
        <v>12020</v>
      </c>
      <c r="I149" s="10">
        <f t="shared" si="32"/>
        <v>9.8284518144205139E-3</v>
      </c>
      <c r="J149" s="6" t="str">
        <f t="shared" si="36"/>
        <v>U</v>
      </c>
    </row>
    <row r="150" spans="1:10" x14ac:dyDescent="0.35">
      <c r="A150" s="26">
        <v>45778</v>
      </c>
      <c r="B150">
        <v>2025</v>
      </c>
      <c r="C150" t="s">
        <v>27</v>
      </c>
      <c r="D150" t="s">
        <v>14</v>
      </c>
      <c r="E150" t="s">
        <v>67</v>
      </c>
      <c r="F150" s="13" cm="1">
        <f t="array" ref="F150">_xlfn.SWITCH(B150,
2024,INDEX('2024_budget'!$B$59:$M$69,MATCH(E150,'2024_budget'!$A$59:$A$69,0),MATCH(C150,'2024_budget'!$B$58:$M$58,0)),
2025,INDEX('2025_budget'!$B$59:$M$69,MATCH(E150,'2025_budget'!$A$59:$A$69,0),MATCH(C150,'2025_budget'!$B$58:$M$58,0)),
2026,INDEX('2026_budget'!$B$59:$M$69,MATCH(E150,'2026_budget'!$A$59:$A$69,0),MATCH(C150,'2026_budget'!$B$58:$M$58,0))
)</f>
        <v>248125</v>
      </c>
      <c r="G150" s="13" cm="1">
        <f t="array" ref="G150">_xlfn.SWITCH(B150,
2024,INDEX('2024_actual'!$B$59:$M$69,MATCH(E150,'2024_actual'!$A$59:$A$69,0),MATCH(C150,'2024_actual'!$B$58:$M$58,0)),
2025,INDEX('2025_actual'!$B$59:$M$69,MATCH(E150,'2025_actual'!$A$59:$A$69,0),MATCH(C150,'2025_actual'!$B$58:$M$58,0)),
2026,INDEX('2026_actual'!$B$59:$M$69,MATCH(E150,'2026_actual'!$A$59:$A$69,0),MATCH(C150,'2026_actual'!$B$58:$M$58,0))
)</f>
        <v>247650</v>
      </c>
      <c r="H150" s="13">
        <f t="shared" si="35"/>
        <v>-475</v>
      </c>
      <c r="I150" s="10">
        <f t="shared" si="32"/>
        <v>-1.9143576826196474E-3</v>
      </c>
      <c r="J150" s="6" t="str">
        <f t="shared" si="36"/>
        <v>F</v>
      </c>
    </row>
    <row r="151" spans="1:10" x14ac:dyDescent="0.35">
      <c r="A151" s="26">
        <v>45778</v>
      </c>
      <c r="B151">
        <v>2025</v>
      </c>
      <c r="C151" t="s">
        <v>27</v>
      </c>
      <c r="D151" t="s">
        <v>12</v>
      </c>
      <c r="E151" t="s">
        <v>68</v>
      </c>
      <c r="F151" s="13" cm="1">
        <f t="array" ref="F151">_xlfn.SWITCH(B151,
2024,INDEX('2024_budget'!$B$59:$M$69,MATCH(E151,'2024_budget'!$A$59:$A$69,0),MATCH(C151,'2024_budget'!$B$58:$M$58,0)),
2025,INDEX('2025_budget'!$B$59:$M$69,MATCH(E151,'2025_budget'!$A$59:$A$69,0),MATCH(C151,'2025_budget'!$B$58:$M$58,0)),
2026,INDEX('2026_budget'!$B$59:$M$69,MATCH(E151,'2026_budget'!$A$59:$A$69,0),MATCH(C151,'2026_budget'!$B$58:$M$58,0))
)</f>
        <v>302665</v>
      </c>
      <c r="G151" s="13" cm="1">
        <f t="array" ref="G151">_xlfn.SWITCH(B151,
2024,INDEX('2024_actual'!$B$59:$M$69,MATCH(E151,'2024_actual'!$A$59:$A$69,0),MATCH(C151,'2024_actual'!$B$58:$M$58,0)),
2025,INDEX('2025_actual'!$B$59:$M$69,MATCH(E151,'2025_actual'!$A$59:$A$69,0),MATCH(C151,'2025_actual'!$B$58:$M$58,0)),
2026,INDEX('2026_actual'!$B$59:$M$69,MATCH(E151,'2026_actual'!$A$59:$A$69,0),MATCH(C151,'2026_actual'!$B$58:$M$58,0))
)</f>
        <v>300050</v>
      </c>
      <c r="H151" s="13">
        <f t="shared" si="35"/>
        <v>-2615</v>
      </c>
      <c r="I151" s="10">
        <f t="shared" si="32"/>
        <v>-8.6399154180364438E-3</v>
      </c>
      <c r="J151" s="6" t="str">
        <f t="shared" si="36"/>
        <v>F</v>
      </c>
    </row>
    <row r="152" spans="1:10" x14ac:dyDescent="0.35">
      <c r="A152" s="26">
        <v>45778</v>
      </c>
      <c r="B152">
        <v>2025</v>
      </c>
      <c r="C152" t="s">
        <v>27</v>
      </c>
      <c r="D152" t="s">
        <v>15</v>
      </c>
      <c r="E152" t="s">
        <v>69</v>
      </c>
      <c r="F152" s="13" cm="1">
        <f t="array" ref="F152">_xlfn.SWITCH(B152,
2024,INDEX('2024_budget'!$B$59:$M$69,MATCH(E152,'2024_budget'!$A$59:$A$69,0),MATCH(C152,'2024_budget'!$B$58:$M$58,0)),
2025,INDEX('2025_budget'!$B$59:$M$69,MATCH(E152,'2025_budget'!$A$59:$A$69,0),MATCH(C152,'2025_budget'!$B$58:$M$58,0)),
2026,INDEX('2026_budget'!$B$59:$M$69,MATCH(E152,'2026_budget'!$A$59:$A$69,0),MATCH(C152,'2026_budget'!$B$58:$M$58,0))
)</f>
        <v>336106.66666666669</v>
      </c>
      <c r="G152" s="13" cm="1">
        <f t="array" ref="G152">_xlfn.SWITCH(B152,
2024,INDEX('2024_actual'!$B$59:$M$69,MATCH(E152,'2024_actual'!$A$59:$A$69,0),MATCH(C152,'2024_actual'!$B$58:$M$58,0)),
2025,INDEX('2025_actual'!$B$59:$M$69,MATCH(E152,'2025_actual'!$A$59:$A$69,0),MATCH(C152,'2025_actual'!$B$58:$M$58,0)),
2026,INDEX('2026_actual'!$B$59:$M$69,MATCH(E152,'2026_actual'!$A$59:$A$69,0),MATCH(C152,'2026_actual'!$B$58:$M$58,0))
)</f>
        <v>336300</v>
      </c>
      <c r="H152" s="13">
        <f t="shared" si="35"/>
        <v>193.33333333331393</v>
      </c>
      <c r="I152" s="10">
        <f t="shared" si="32"/>
        <v>5.7521421770860613E-4</v>
      </c>
      <c r="J152" s="6" t="str">
        <f t="shared" si="36"/>
        <v>U</v>
      </c>
    </row>
    <row r="153" spans="1:10" x14ac:dyDescent="0.35">
      <c r="A153" s="26">
        <v>45778</v>
      </c>
      <c r="B153">
        <v>2025</v>
      </c>
      <c r="C153" t="s">
        <v>27</v>
      </c>
      <c r="D153" t="s">
        <v>146</v>
      </c>
      <c r="E153" t="s">
        <v>70</v>
      </c>
      <c r="F153" s="13" cm="1">
        <f t="array" ref="F153">_xlfn.SWITCH(B153,
2024,INDEX('2024_budget'!$B$59:$M$69,MATCH(E153,'2024_budget'!$A$59:$A$69,0),MATCH(C153,'2024_budget'!$B$58:$M$58,0)),
2025,INDEX('2025_budget'!$B$59:$M$69,MATCH(E153,'2025_budget'!$A$59:$A$69,0),MATCH(C153,'2025_budget'!$B$58:$M$58,0)),
2026,INDEX('2026_budget'!$B$59:$M$69,MATCH(E153,'2026_budget'!$A$59:$A$69,0),MATCH(C153,'2026_budget'!$B$58:$M$58,0))
)</f>
        <v>3320213.3333333335</v>
      </c>
      <c r="G153" s="13" cm="1">
        <f t="array" ref="G153">_xlfn.SWITCH(B153,
2024,INDEX('2024_actual'!$B$59:$M$69,MATCH(E153,'2024_actual'!$A$59:$A$69,0),MATCH(C153,'2024_actual'!$B$58:$M$58,0)),
2025,INDEX('2025_actual'!$B$59:$M$69,MATCH(E153,'2025_actual'!$A$59:$A$69,0),MATCH(C153,'2025_actual'!$B$58:$M$58,0)),
2026,INDEX('2026_actual'!$B$59:$M$69,MATCH(E153,'2026_actual'!$A$59:$A$69,0),MATCH(C153,'2026_actual'!$B$58:$M$58,0))
)</f>
        <v>3350750</v>
      </c>
      <c r="H153" s="13">
        <f t="shared" si="35"/>
        <v>30536.666666666511</v>
      </c>
      <c r="I153" s="10">
        <f t="shared" si="32"/>
        <v>9.1972001799080719E-3</v>
      </c>
      <c r="J153" s="6" t="str">
        <f t="shared" si="36"/>
        <v>U</v>
      </c>
    </row>
    <row r="154" spans="1:10" x14ac:dyDescent="0.35">
      <c r="A154" s="26">
        <v>45778</v>
      </c>
      <c r="B154">
        <v>2025</v>
      </c>
      <c r="C154" t="s">
        <v>27</v>
      </c>
      <c r="D154" t="s">
        <v>146</v>
      </c>
      <c r="E154" t="s">
        <v>71</v>
      </c>
      <c r="F154" s="13" cm="1">
        <f t="array" ref="F154">_xlfn.SWITCH(B154,
2024,INDEX('2024_budget'!$B$59:$M$69,MATCH(E154,'2024_budget'!$A$59:$A$69,0),MATCH(C154,'2024_budget'!$B$58:$M$58,0)),
2025,INDEX('2025_budget'!$B$59:$M$69,MATCH(E154,'2025_budget'!$A$59:$A$69,0),MATCH(C154,'2025_budget'!$B$58:$M$58,0)),
2026,INDEX('2026_budget'!$B$59:$M$69,MATCH(E154,'2026_budget'!$A$59:$A$69,0),MATCH(C154,'2026_budget'!$B$58:$M$58,0))
)</f>
        <v>359786.66666666651</v>
      </c>
      <c r="G154" s="13" cm="1">
        <f t="array" ref="G154">_xlfn.SWITCH(B154,
2024,INDEX('2024_actual'!$B$59:$M$69,MATCH(E154,'2024_actual'!$A$59:$A$69,0),MATCH(C154,'2024_actual'!$B$58:$M$58,0)),
2025,INDEX('2025_actual'!$B$59:$M$69,MATCH(E154,'2025_actual'!$A$59:$A$69,0),MATCH(C154,'2025_actual'!$B$58:$M$58,0)),
2026,INDEX('2026_actual'!$B$59:$M$69,MATCH(E154,'2026_actual'!$A$59:$A$69,0),MATCH(C154,'2026_actual'!$B$58:$M$58,0))
)</f>
        <v>384250</v>
      </c>
      <c r="H154" s="13">
        <f t="shared" si="35"/>
        <v>24463.333333333489</v>
      </c>
      <c r="I154" s="10">
        <f t="shared" si="32"/>
        <v>6.7993996442336654E-2</v>
      </c>
      <c r="J154" s="6" t="str">
        <f>IF(G154&gt;=F154,"F","U")</f>
        <v>F</v>
      </c>
    </row>
    <row r="155" spans="1:10" x14ac:dyDescent="0.35">
      <c r="A155" s="26">
        <v>45809</v>
      </c>
      <c r="B155">
        <v>2025</v>
      </c>
      <c r="C155" t="s">
        <v>28</v>
      </c>
      <c r="D155" t="s">
        <v>146</v>
      </c>
      <c r="E155" t="s">
        <v>6</v>
      </c>
      <c r="F155" s="13" cm="1">
        <f t="array" ref="F155">_xlfn.SWITCH(B155,
2024,INDEX('2024_budget'!$B$59:$M$69,MATCH(E155,'2024_budget'!$A$59:$A$69,0),MATCH(C155,'2024_budget'!$B$58:$M$58,0)),
2025,INDEX('2025_budget'!$B$59:$M$69,MATCH(E155,'2025_budget'!$A$59:$A$69,0),MATCH(C155,'2025_budget'!$B$58:$M$58,0)),
2026,INDEX('2026_budget'!$B$59:$M$69,MATCH(E155,'2026_budget'!$A$59:$A$69,0),MATCH(C155,'2026_budget'!$B$58:$M$58,0))
)</f>
        <v>3680000</v>
      </c>
      <c r="G155" s="13" cm="1">
        <f t="array" ref="G155">_xlfn.SWITCH(B155,
2024,INDEX('2024_actual'!$B$59:$M$69,MATCH(E155,'2024_actual'!$A$59:$A$69,0),MATCH(C155,'2024_actual'!$B$58:$M$58,0)),
2025,INDEX('2025_actual'!$B$59:$M$69,MATCH(E155,'2025_actual'!$A$59:$A$69,0),MATCH(C155,'2025_actual'!$B$58:$M$58,0)),
2026,INDEX('2026_actual'!$B$59:$M$69,MATCH(E155,'2026_actual'!$A$59:$A$69,0),MATCH(C155,'2026_actual'!$B$58:$M$58,0))
)</f>
        <v>3760000</v>
      </c>
      <c r="H155" s="13">
        <f>G155-F155</f>
        <v>80000</v>
      </c>
      <c r="I155" s="10">
        <f t="shared" si="32"/>
        <v>2.1739130434782608E-2</v>
      </c>
      <c r="J155" s="6" t="str">
        <f>IF(G155&gt;=F155,"F","U")</f>
        <v>F</v>
      </c>
    </row>
    <row r="156" spans="1:10" x14ac:dyDescent="0.35">
      <c r="A156" s="26">
        <v>45809</v>
      </c>
      <c r="B156">
        <v>2025</v>
      </c>
      <c r="C156" t="s">
        <v>28</v>
      </c>
      <c r="D156" t="s">
        <v>11</v>
      </c>
      <c r="E156" t="s">
        <v>64</v>
      </c>
      <c r="F156" s="13" cm="1">
        <f t="array" ref="F156">_xlfn.SWITCH(B156,
2024,INDEX('2024_budget'!$B$59:$M$69,MATCH(E156,'2024_budget'!$A$59:$A$69,0),MATCH(C156,'2024_budget'!$B$58:$M$58,0)),
2025,INDEX('2025_budget'!$B$59:$M$69,MATCH(E156,'2025_budget'!$A$59:$A$69,0),MATCH(C156,'2025_budget'!$B$58:$M$58,0)),
2026,INDEX('2026_budget'!$B$59:$M$69,MATCH(E156,'2026_budget'!$A$59:$A$69,0),MATCH(C156,'2026_budget'!$B$58:$M$58,0))
)</f>
        <v>764183.33333333337</v>
      </c>
      <c r="G156" s="13" cm="1">
        <f t="array" ref="G156">_xlfn.SWITCH(B156,
2024,INDEX('2024_actual'!$B$59:$M$69,MATCH(E156,'2024_actual'!$A$59:$A$69,0),MATCH(C156,'2024_actual'!$B$58:$M$58,0)),
2025,INDEX('2025_actual'!$B$59:$M$69,MATCH(E156,'2025_actual'!$A$59:$A$69,0),MATCH(C156,'2025_actual'!$B$58:$M$58,0)),
2026,INDEX('2026_actual'!$B$59:$M$69,MATCH(E156,'2026_actual'!$A$59:$A$69,0),MATCH(C156,'2026_actual'!$B$58:$M$58,0))
)</f>
        <v>771750</v>
      </c>
      <c r="H156" s="13">
        <f t="shared" ref="H156:H163" si="37">G156-F156</f>
        <v>7566.6666666666279</v>
      </c>
      <c r="I156" s="10">
        <f t="shared" si="32"/>
        <v>9.9016379141130539E-3</v>
      </c>
      <c r="J156" s="6" t="str">
        <f>IF(G156&lt;=F156,"F","U")</f>
        <v>U</v>
      </c>
    </row>
    <row r="157" spans="1:10" x14ac:dyDescent="0.35">
      <c r="A157" s="26">
        <v>45809</v>
      </c>
      <c r="B157">
        <v>2025</v>
      </c>
      <c r="C157" t="s">
        <v>28</v>
      </c>
      <c r="D157" t="s">
        <v>13</v>
      </c>
      <c r="E157" t="s">
        <v>65</v>
      </c>
      <c r="F157" s="13" cm="1">
        <f t="array" ref="F157">_xlfn.SWITCH(B157,
2024,INDEX('2024_budget'!$B$59:$M$69,MATCH(E157,'2024_budget'!$A$59:$A$69,0),MATCH(C157,'2024_budget'!$B$58:$M$58,0)),
2025,INDEX('2025_budget'!$B$59:$M$69,MATCH(E157,'2025_budget'!$A$59:$A$69,0),MATCH(C157,'2025_budget'!$B$58:$M$58,0)),
2026,INDEX('2026_budget'!$B$59:$M$69,MATCH(E157,'2026_budget'!$A$59:$A$69,0),MATCH(C157,'2026_budget'!$B$58:$M$58,0))
)</f>
        <v>446153.33333333331</v>
      </c>
      <c r="G157" s="13" cm="1">
        <f t="array" ref="G157">_xlfn.SWITCH(B157,
2024,INDEX('2024_actual'!$B$59:$M$69,MATCH(E157,'2024_actual'!$A$59:$A$69,0),MATCH(C157,'2024_actual'!$B$58:$M$58,0)),
2025,INDEX('2025_actual'!$B$59:$M$69,MATCH(E157,'2025_actual'!$A$59:$A$69,0),MATCH(C157,'2025_actual'!$B$58:$M$58,0)),
2026,INDEX('2026_actual'!$B$59:$M$69,MATCH(E157,'2026_actual'!$A$59:$A$69,0),MATCH(C157,'2026_actual'!$B$58:$M$58,0))
)</f>
        <v>466000</v>
      </c>
      <c r="H157" s="13">
        <f t="shared" si="37"/>
        <v>19846.666666666686</v>
      </c>
      <c r="I157" s="10">
        <f t="shared" si="32"/>
        <v>4.448395917696462E-2</v>
      </c>
      <c r="J157" s="6" t="str">
        <f t="shared" ref="J157:J162" si="38">IF(G157&lt;=F157,"F","U")</f>
        <v>U</v>
      </c>
    </row>
    <row r="158" spans="1:10" x14ac:dyDescent="0.35">
      <c r="A158" s="26">
        <v>45809</v>
      </c>
      <c r="B158">
        <v>2025</v>
      </c>
      <c r="C158" t="s">
        <v>28</v>
      </c>
      <c r="D158" t="s">
        <v>10</v>
      </c>
      <c r="E158" t="s">
        <v>66</v>
      </c>
      <c r="F158" s="13" cm="1">
        <f t="array" ref="F158">_xlfn.SWITCH(B158,
2024,INDEX('2024_budget'!$B$59:$M$69,MATCH(E158,'2024_budget'!$A$59:$A$69,0),MATCH(C158,'2024_budget'!$B$58:$M$58,0)),
2025,INDEX('2025_budget'!$B$59:$M$69,MATCH(E158,'2025_budget'!$A$59:$A$69,0),MATCH(C158,'2025_budget'!$B$58:$M$58,0)),
2026,INDEX('2026_budget'!$B$59:$M$69,MATCH(E158,'2026_budget'!$A$59:$A$69,0),MATCH(C158,'2026_budget'!$B$58:$M$58,0))
)</f>
        <v>1222980</v>
      </c>
      <c r="G158" s="13" cm="1">
        <f t="array" ref="G158">_xlfn.SWITCH(B158,
2024,INDEX('2024_actual'!$B$59:$M$69,MATCH(E158,'2024_actual'!$A$59:$A$69,0),MATCH(C158,'2024_actual'!$B$58:$M$58,0)),
2025,INDEX('2025_actual'!$B$59:$M$69,MATCH(E158,'2025_actual'!$A$59:$A$69,0),MATCH(C158,'2025_actual'!$B$58:$M$58,0)),
2026,INDEX('2026_actual'!$B$59:$M$69,MATCH(E158,'2026_actual'!$A$59:$A$69,0),MATCH(C158,'2026_actual'!$B$58:$M$58,0))
)</f>
        <v>1237000</v>
      </c>
      <c r="H158" s="13">
        <f t="shared" si="37"/>
        <v>14020</v>
      </c>
      <c r="I158" s="10">
        <f t="shared" si="32"/>
        <v>1.1463801533958037E-2</v>
      </c>
      <c r="J158" s="6" t="str">
        <f t="shared" si="38"/>
        <v>U</v>
      </c>
    </row>
    <row r="159" spans="1:10" x14ac:dyDescent="0.35">
      <c r="A159" s="26">
        <v>45809</v>
      </c>
      <c r="B159">
        <v>2025</v>
      </c>
      <c r="C159" t="s">
        <v>28</v>
      </c>
      <c r="D159" t="s">
        <v>14</v>
      </c>
      <c r="E159" t="s">
        <v>67</v>
      </c>
      <c r="F159" s="13" cm="1">
        <f t="array" ref="F159">_xlfn.SWITCH(B159,
2024,INDEX('2024_budget'!$B$59:$M$69,MATCH(E159,'2024_budget'!$A$59:$A$69,0),MATCH(C159,'2024_budget'!$B$58:$M$58,0)),
2025,INDEX('2025_budget'!$B$59:$M$69,MATCH(E159,'2025_budget'!$A$59:$A$69,0),MATCH(C159,'2025_budget'!$B$58:$M$58,0)),
2026,INDEX('2026_budget'!$B$59:$M$69,MATCH(E159,'2026_budget'!$A$59:$A$69,0),MATCH(C159,'2026_budget'!$B$58:$M$58,0))
)</f>
        <v>248125</v>
      </c>
      <c r="G159" s="13" cm="1">
        <f t="array" ref="G159">_xlfn.SWITCH(B159,
2024,INDEX('2024_actual'!$B$59:$M$69,MATCH(E159,'2024_actual'!$A$59:$A$69,0),MATCH(C159,'2024_actual'!$B$58:$M$58,0)),
2025,INDEX('2025_actual'!$B$59:$M$69,MATCH(E159,'2025_actual'!$A$59:$A$69,0),MATCH(C159,'2025_actual'!$B$58:$M$58,0)),
2026,INDEX('2026_actual'!$B$59:$M$69,MATCH(E159,'2026_actual'!$A$59:$A$69,0),MATCH(C159,'2026_actual'!$B$58:$M$58,0))
)</f>
        <v>247650</v>
      </c>
      <c r="H159" s="13">
        <f t="shared" si="37"/>
        <v>-475</v>
      </c>
      <c r="I159" s="10">
        <f t="shared" si="32"/>
        <v>-1.9143576826196474E-3</v>
      </c>
      <c r="J159" s="6" t="str">
        <f t="shared" si="38"/>
        <v>F</v>
      </c>
    </row>
    <row r="160" spans="1:10" x14ac:dyDescent="0.35">
      <c r="A160" s="26">
        <v>45809</v>
      </c>
      <c r="B160">
        <v>2025</v>
      </c>
      <c r="C160" t="s">
        <v>28</v>
      </c>
      <c r="D160" t="s">
        <v>12</v>
      </c>
      <c r="E160" t="s">
        <v>68</v>
      </c>
      <c r="F160" s="13" cm="1">
        <f t="array" ref="F160">_xlfn.SWITCH(B160,
2024,INDEX('2024_budget'!$B$59:$M$69,MATCH(E160,'2024_budget'!$A$59:$A$69,0),MATCH(C160,'2024_budget'!$B$58:$M$58,0)),
2025,INDEX('2025_budget'!$B$59:$M$69,MATCH(E160,'2025_budget'!$A$59:$A$69,0),MATCH(C160,'2025_budget'!$B$58:$M$58,0)),
2026,INDEX('2026_budget'!$B$59:$M$69,MATCH(E160,'2026_budget'!$A$59:$A$69,0),MATCH(C160,'2026_budget'!$B$58:$M$58,0))
)</f>
        <v>302665</v>
      </c>
      <c r="G160" s="13" cm="1">
        <f t="array" ref="G160">_xlfn.SWITCH(B160,
2024,INDEX('2024_actual'!$B$59:$M$69,MATCH(E160,'2024_actual'!$A$59:$A$69,0),MATCH(C160,'2024_actual'!$B$58:$M$58,0)),
2025,INDEX('2025_actual'!$B$59:$M$69,MATCH(E160,'2025_actual'!$A$59:$A$69,0),MATCH(C160,'2025_actual'!$B$58:$M$58,0)),
2026,INDEX('2026_actual'!$B$59:$M$69,MATCH(E160,'2026_actual'!$A$59:$A$69,0),MATCH(C160,'2026_actual'!$B$58:$M$58,0))
)</f>
        <v>300050</v>
      </c>
      <c r="H160" s="13">
        <f t="shared" si="37"/>
        <v>-2615</v>
      </c>
      <c r="I160" s="10">
        <f t="shared" si="32"/>
        <v>-8.6399154180364438E-3</v>
      </c>
      <c r="J160" s="6" t="str">
        <f t="shared" si="38"/>
        <v>F</v>
      </c>
    </row>
    <row r="161" spans="1:10" x14ac:dyDescent="0.35">
      <c r="A161" s="26">
        <v>45809</v>
      </c>
      <c r="B161">
        <v>2025</v>
      </c>
      <c r="C161" t="s">
        <v>28</v>
      </c>
      <c r="D161" t="s">
        <v>15</v>
      </c>
      <c r="E161" t="s">
        <v>69</v>
      </c>
      <c r="F161" s="13" cm="1">
        <f t="array" ref="F161">_xlfn.SWITCH(B161,
2024,INDEX('2024_budget'!$B$59:$M$69,MATCH(E161,'2024_budget'!$A$59:$A$69,0),MATCH(C161,'2024_budget'!$B$58:$M$58,0)),
2025,INDEX('2025_budget'!$B$59:$M$69,MATCH(E161,'2025_budget'!$A$59:$A$69,0),MATCH(C161,'2025_budget'!$B$58:$M$58,0)),
2026,INDEX('2026_budget'!$B$59:$M$69,MATCH(E161,'2026_budget'!$A$59:$A$69,0),MATCH(C161,'2026_budget'!$B$58:$M$58,0))
)</f>
        <v>336106.66666666669</v>
      </c>
      <c r="G161" s="13" cm="1">
        <f t="array" ref="G161">_xlfn.SWITCH(B161,
2024,INDEX('2024_actual'!$B$59:$M$69,MATCH(E161,'2024_actual'!$A$59:$A$69,0),MATCH(C161,'2024_actual'!$B$58:$M$58,0)),
2025,INDEX('2025_actual'!$B$59:$M$69,MATCH(E161,'2025_actual'!$A$59:$A$69,0),MATCH(C161,'2025_actual'!$B$58:$M$58,0)),
2026,INDEX('2026_actual'!$B$59:$M$69,MATCH(E161,'2026_actual'!$A$59:$A$69,0),MATCH(C161,'2026_actual'!$B$58:$M$58,0))
)</f>
        <v>336300</v>
      </c>
      <c r="H161" s="13">
        <f t="shared" si="37"/>
        <v>193.33333333331393</v>
      </c>
      <c r="I161" s="10">
        <f t="shared" si="32"/>
        <v>5.7521421770860613E-4</v>
      </c>
      <c r="J161" s="6" t="str">
        <f t="shared" si="38"/>
        <v>U</v>
      </c>
    </row>
    <row r="162" spans="1:10" x14ac:dyDescent="0.35">
      <c r="A162" s="26">
        <v>45809</v>
      </c>
      <c r="B162">
        <v>2025</v>
      </c>
      <c r="C162" t="s">
        <v>28</v>
      </c>
      <c r="D162" t="s">
        <v>146</v>
      </c>
      <c r="E162" t="s">
        <v>70</v>
      </c>
      <c r="F162" s="13" cm="1">
        <f t="array" ref="F162">_xlfn.SWITCH(B162,
2024,INDEX('2024_budget'!$B$59:$M$69,MATCH(E162,'2024_budget'!$A$59:$A$69,0),MATCH(C162,'2024_budget'!$B$58:$M$58,0)),
2025,INDEX('2025_budget'!$B$59:$M$69,MATCH(E162,'2025_budget'!$A$59:$A$69,0),MATCH(C162,'2025_budget'!$B$58:$M$58,0)),
2026,INDEX('2026_budget'!$B$59:$M$69,MATCH(E162,'2026_budget'!$A$59:$A$69,0),MATCH(C162,'2026_budget'!$B$58:$M$58,0))
)</f>
        <v>3320213.3333333335</v>
      </c>
      <c r="G162" s="13" cm="1">
        <f t="array" ref="G162">_xlfn.SWITCH(B162,
2024,INDEX('2024_actual'!$B$59:$M$69,MATCH(E162,'2024_actual'!$A$59:$A$69,0),MATCH(C162,'2024_actual'!$B$58:$M$58,0)),
2025,INDEX('2025_actual'!$B$59:$M$69,MATCH(E162,'2025_actual'!$A$59:$A$69,0),MATCH(C162,'2025_actual'!$B$58:$M$58,0)),
2026,INDEX('2026_actual'!$B$59:$M$69,MATCH(E162,'2026_actual'!$A$59:$A$69,0),MATCH(C162,'2026_actual'!$B$58:$M$58,0))
)</f>
        <v>3358750</v>
      </c>
      <c r="H162" s="13">
        <f t="shared" si="37"/>
        <v>38536.666666666511</v>
      </c>
      <c r="I162" s="10">
        <f t="shared" si="32"/>
        <v>1.1606683907861294E-2</v>
      </c>
      <c r="J162" s="6" t="str">
        <f t="shared" si="38"/>
        <v>U</v>
      </c>
    </row>
    <row r="163" spans="1:10" x14ac:dyDescent="0.35">
      <c r="A163" s="26">
        <v>45809</v>
      </c>
      <c r="B163">
        <v>2025</v>
      </c>
      <c r="C163" t="s">
        <v>28</v>
      </c>
      <c r="D163" t="s">
        <v>146</v>
      </c>
      <c r="E163" t="s">
        <v>71</v>
      </c>
      <c r="F163" s="13" cm="1">
        <f t="array" ref="F163">_xlfn.SWITCH(B163,
2024,INDEX('2024_budget'!$B$59:$M$69,MATCH(E163,'2024_budget'!$A$59:$A$69,0),MATCH(C163,'2024_budget'!$B$58:$M$58,0)),
2025,INDEX('2025_budget'!$B$59:$M$69,MATCH(E163,'2025_budget'!$A$59:$A$69,0),MATCH(C163,'2025_budget'!$B$58:$M$58,0)),
2026,INDEX('2026_budget'!$B$59:$M$69,MATCH(E163,'2026_budget'!$A$59:$A$69,0),MATCH(C163,'2026_budget'!$B$58:$M$58,0))
)</f>
        <v>359786.66666666651</v>
      </c>
      <c r="G163" s="13" cm="1">
        <f t="array" ref="G163">_xlfn.SWITCH(B163,
2024,INDEX('2024_actual'!$B$59:$M$69,MATCH(E163,'2024_actual'!$A$59:$A$69,0),MATCH(C163,'2024_actual'!$B$58:$M$58,0)),
2025,INDEX('2025_actual'!$B$59:$M$69,MATCH(E163,'2025_actual'!$A$59:$A$69,0),MATCH(C163,'2025_actual'!$B$58:$M$58,0)),
2026,INDEX('2026_actual'!$B$59:$M$69,MATCH(E163,'2026_actual'!$A$59:$A$69,0),MATCH(C163,'2026_actual'!$B$58:$M$58,0))
)</f>
        <v>401250</v>
      </c>
      <c r="H163" s="13">
        <f t="shared" si="37"/>
        <v>41463.333333333489</v>
      </c>
      <c r="I163" s="10">
        <f t="shared" si="32"/>
        <v>0.11524421879632422</v>
      </c>
      <c r="J163" s="6" t="str">
        <f>IF(G163&gt;=F163,"F","U")</f>
        <v>F</v>
      </c>
    </row>
    <row r="164" spans="1:10" x14ac:dyDescent="0.35">
      <c r="A164" s="26">
        <v>45839</v>
      </c>
      <c r="B164">
        <v>2025</v>
      </c>
      <c r="C164" t="s">
        <v>29</v>
      </c>
      <c r="D164" t="s">
        <v>146</v>
      </c>
      <c r="E164" t="s">
        <v>6</v>
      </c>
      <c r="F164" s="13" cm="1">
        <f t="array" ref="F164">_xlfn.SWITCH(B164,
2024,INDEX('2024_budget'!$B$59:$M$69,MATCH(E164,'2024_budget'!$A$59:$A$69,0),MATCH(C164,'2024_budget'!$B$58:$M$58,0)),
2025,INDEX('2025_budget'!$B$59:$M$69,MATCH(E164,'2025_budget'!$A$59:$A$69,0),MATCH(C164,'2025_budget'!$B$58:$M$58,0)),
2026,INDEX('2026_budget'!$B$59:$M$69,MATCH(E164,'2026_budget'!$A$59:$A$69,0),MATCH(C164,'2026_budget'!$B$58:$M$58,0))
)</f>
        <v>3680000</v>
      </c>
      <c r="G164" s="13" cm="1">
        <f t="array" ref="G164">_xlfn.SWITCH(B164,
2024,INDEX('2024_actual'!$B$59:$M$69,MATCH(E164,'2024_actual'!$A$59:$A$69,0),MATCH(C164,'2024_actual'!$B$58:$M$58,0)),
2025,INDEX('2025_actual'!$B$59:$M$69,MATCH(E164,'2025_actual'!$A$59:$A$69,0),MATCH(C164,'2025_actual'!$B$58:$M$58,0)),
2026,INDEX('2026_actual'!$B$59:$M$69,MATCH(E164,'2026_actual'!$A$59:$A$69,0),MATCH(C164,'2026_actual'!$B$58:$M$58,0))
)</f>
        <v>3785000</v>
      </c>
      <c r="H164" s="13">
        <f>G164-F164</f>
        <v>105000</v>
      </c>
      <c r="I164" s="10">
        <f t="shared" si="32"/>
        <v>2.8532608695652172E-2</v>
      </c>
      <c r="J164" s="6" t="str">
        <f>IF(G164&gt;=F164,"F","U")</f>
        <v>F</v>
      </c>
    </row>
    <row r="165" spans="1:10" x14ac:dyDescent="0.35">
      <c r="A165" s="26">
        <v>45839</v>
      </c>
      <c r="B165">
        <v>2025</v>
      </c>
      <c r="C165" t="s">
        <v>29</v>
      </c>
      <c r="D165" t="s">
        <v>11</v>
      </c>
      <c r="E165" t="s">
        <v>64</v>
      </c>
      <c r="F165" s="13" cm="1">
        <f t="array" ref="F165">_xlfn.SWITCH(B165,
2024,INDEX('2024_budget'!$B$59:$M$69,MATCH(E165,'2024_budget'!$A$59:$A$69,0),MATCH(C165,'2024_budget'!$B$58:$M$58,0)),
2025,INDEX('2025_budget'!$B$59:$M$69,MATCH(E165,'2025_budget'!$A$59:$A$69,0),MATCH(C165,'2025_budget'!$B$58:$M$58,0)),
2026,INDEX('2026_budget'!$B$59:$M$69,MATCH(E165,'2026_budget'!$A$59:$A$69,0),MATCH(C165,'2026_budget'!$B$58:$M$58,0))
)</f>
        <v>764183.33333333337</v>
      </c>
      <c r="G165" s="13" cm="1">
        <f t="array" ref="G165">_xlfn.SWITCH(B165,
2024,INDEX('2024_actual'!$B$59:$M$69,MATCH(E165,'2024_actual'!$A$59:$A$69,0),MATCH(C165,'2024_actual'!$B$58:$M$58,0)),
2025,INDEX('2025_actual'!$B$59:$M$69,MATCH(E165,'2025_actual'!$A$59:$A$69,0),MATCH(C165,'2025_actual'!$B$58:$M$58,0)),
2026,INDEX('2026_actual'!$B$59:$M$69,MATCH(E165,'2026_actual'!$A$59:$A$69,0),MATCH(C165,'2026_actual'!$B$58:$M$58,0))
)</f>
        <v>779250</v>
      </c>
      <c r="H165" s="13">
        <f t="shared" ref="H165:H172" si="39">G165-F165</f>
        <v>15066.666666666628</v>
      </c>
      <c r="I165" s="10">
        <f t="shared" si="32"/>
        <v>1.9716036727661285E-2</v>
      </c>
      <c r="J165" s="6" t="str">
        <f>IF(G165&lt;=F165,"F","U")</f>
        <v>U</v>
      </c>
    </row>
    <row r="166" spans="1:10" x14ac:dyDescent="0.35">
      <c r="A166" s="26">
        <v>45839</v>
      </c>
      <c r="B166">
        <v>2025</v>
      </c>
      <c r="C166" t="s">
        <v>29</v>
      </c>
      <c r="D166" t="s">
        <v>13</v>
      </c>
      <c r="E166" t="s">
        <v>65</v>
      </c>
      <c r="F166" s="13" cm="1">
        <f t="array" ref="F166">_xlfn.SWITCH(B166,
2024,INDEX('2024_budget'!$B$59:$M$69,MATCH(E166,'2024_budget'!$A$59:$A$69,0),MATCH(C166,'2024_budget'!$B$58:$M$58,0)),
2025,INDEX('2025_budget'!$B$59:$M$69,MATCH(E166,'2025_budget'!$A$59:$A$69,0),MATCH(C166,'2025_budget'!$B$58:$M$58,0)),
2026,INDEX('2026_budget'!$B$59:$M$69,MATCH(E166,'2026_budget'!$A$59:$A$69,0),MATCH(C166,'2026_budget'!$B$58:$M$58,0))
)</f>
        <v>446153.33333333331</v>
      </c>
      <c r="G166" s="13" cm="1">
        <f t="array" ref="G166">_xlfn.SWITCH(B166,
2024,INDEX('2024_actual'!$B$59:$M$69,MATCH(E166,'2024_actual'!$A$59:$A$69,0),MATCH(C166,'2024_actual'!$B$58:$M$58,0)),
2025,INDEX('2025_actual'!$B$59:$M$69,MATCH(E166,'2025_actual'!$A$59:$A$69,0),MATCH(C166,'2025_actual'!$B$58:$M$58,0)),
2026,INDEX('2026_actual'!$B$59:$M$69,MATCH(E166,'2026_actual'!$A$59:$A$69,0),MATCH(C166,'2026_actual'!$B$58:$M$58,0))
)</f>
        <v>472200</v>
      </c>
      <c r="H166" s="13">
        <f t="shared" si="39"/>
        <v>26046.666666666686</v>
      </c>
      <c r="I166" s="10">
        <f t="shared" si="32"/>
        <v>5.8380526874168864E-2</v>
      </c>
      <c r="J166" s="6" t="str">
        <f t="shared" ref="J166:J171" si="40">IF(G166&lt;=F166,"F","U")</f>
        <v>U</v>
      </c>
    </row>
    <row r="167" spans="1:10" x14ac:dyDescent="0.35">
      <c r="A167" s="26">
        <v>45839</v>
      </c>
      <c r="B167">
        <v>2025</v>
      </c>
      <c r="C167" t="s">
        <v>29</v>
      </c>
      <c r="D167" t="s">
        <v>10</v>
      </c>
      <c r="E167" t="s">
        <v>66</v>
      </c>
      <c r="F167" s="13" cm="1">
        <f t="array" ref="F167">_xlfn.SWITCH(B167,
2024,INDEX('2024_budget'!$B$59:$M$69,MATCH(E167,'2024_budget'!$A$59:$A$69,0),MATCH(C167,'2024_budget'!$B$58:$M$58,0)),
2025,INDEX('2025_budget'!$B$59:$M$69,MATCH(E167,'2025_budget'!$A$59:$A$69,0),MATCH(C167,'2025_budget'!$B$58:$M$58,0)),
2026,INDEX('2026_budget'!$B$59:$M$69,MATCH(E167,'2026_budget'!$A$59:$A$69,0),MATCH(C167,'2026_budget'!$B$58:$M$58,0))
)</f>
        <v>1222980</v>
      </c>
      <c r="G167" s="13" cm="1">
        <f t="array" ref="G167">_xlfn.SWITCH(B167,
2024,INDEX('2024_actual'!$B$59:$M$69,MATCH(E167,'2024_actual'!$A$59:$A$69,0),MATCH(C167,'2024_actual'!$B$58:$M$58,0)),
2025,INDEX('2025_actual'!$B$59:$M$69,MATCH(E167,'2025_actual'!$A$59:$A$69,0),MATCH(C167,'2025_actual'!$B$58:$M$58,0)),
2026,INDEX('2026_actual'!$B$59:$M$69,MATCH(E167,'2026_actual'!$A$59:$A$69,0),MATCH(C167,'2026_actual'!$B$58:$M$58,0))
)</f>
        <v>1246000</v>
      </c>
      <c r="H167" s="13">
        <f t="shared" si="39"/>
        <v>23020</v>
      </c>
      <c r="I167" s="10">
        <f t="shared" si="32"/>
        <v>1.8822875271876892E-2</v>
      </c>
      <c r="J167" s="6" t="str">
        <f t="shared" si="40"/>
        <v>U</v>
      </c>
    </row>
    <row r="168" spans="1:10" x14ac:dyDescent="0.35">
      <c r="A168" s="26">
        <v>45839</v>
      </c>
      <c r="B168">
        <v>2025</v>
      </c>
      <c r="C168" t="s">
        <v>29</v>
      </c>
      <c r="D168" t="s">
        <v>14</v>
      </c>
      <c r="E168" t="s">
        <v>67</v>
      </c>
      <c r="F168" s="13" cm="1">
        <f t="array" ref="F168">_xlfn.SWITCH(B168,
2024,INDEX('2024_budget'!$B$59:$M$69,MATCH(E168,'2024_budget'!$A$59:$A$69,0),MATCH(C168,'2024_budget'!$B$58:$M$58,0)),
2025,INDEX('2025_budget'!$B$59:$M$69,MATCH(E168,'2025_budget'!$A$59:$A$69,0),MATCH(C168,'2025_budget'!$B$58:$M$58,0)),
2026,INDEX('2026_budget'!$B$59:$M$69,MATCH(E168,'2026_budget'!$A$59:$A$69,0),MATCH(C168,'2026_budget'!$B$58:$M$58,0))
)</f>
        <v>248125</v>
      </c>
      <c r="G168" s="13" cm="1">
        <f t="array" ref="G168">_xlfn.SWITCH(B168,
2024,INDEX('2024_actual'!$B$59:$M$69,MATCH(E168,'2024_actual'!$A$59:$A$69,0),MATCH(C168,'2024_actual'!$B$58:$M$58,0)),
2025,INDEX('2025_actual'!$B$59:$M$69,MATCH(E168,'2025_actual'!$A$59:$A$69,0),MATCH(C168,'2025_actual'!$B$58:$M$58,0)),
2026,INDEX('2026_actual'!$B$59:$M$69,MATCH(E168,'2026_actual'!$A$59:$A$69,0),MATCH(C168,'2026_actual'!$B$58:$M$58,0))
)</f>
        <v>249850</v>
      </c>
      <c r="H168" s="13">
        <f t="shared" si="39"/>
        <v>1725</v>
      </c>
      <c r="I168" s="10">
        <f t="shared" si="32"/>
        <v>6.952141057934509E-3</v>
      </c>
      <c r="J168" s="6" t="str">
        <f t="shared" si="40"/>
        <v>U</v>
      </c>
    </row>
    <row r="169" spans="1:10" x14ac:dyDescent="0.35">
      <c r="A169" s="26">
        <v>45839</v>
      </c>
      <c r="B169">
        <v>2025</v>
      </c>
      <c r="C169" t="s">
        <v>29</v>
      </c>
      <c r="D169" t="s">
        <v>12</v>
      </c>
      <c r="E169" t="s">
        <v>68</v>
      </c>
      <c r="F169" s="13" cm="1">
        <f t="array" ref="F169">_xlfn.SWITCH(B169,
2024,INDEX('2024_budget'!$B$59:$M$69,MATCH(E169,'2024_budget'!$A$59:$A$69,0),MATCH(C169,'2024_budget'!$B$58:$M$58,0)),
2025,INDEX('2025_budget'!$B$59:$M$69,MATCH(E169,'2025_budget'!$A$59:$A$69,0),MATCH(C169,'2025_budget'!$B$58:$M$58,0)),
2026,INDEX('2026_budget'!$B$59:$M$69,MATCH(E169,'2026_budget'!$A$59:$A$69,0),MATCH(C169,'2026_budget'!$B$58:$M$58,0))
)</f>
        <v>302665</v>
      </c>
      <c r="G169" s="13" cm="1">
        <f t="array" ref="G169">_xlfn.SWITCH(B169,
2024,INDEX('2024_actual'!$B$59:$M$69,MATCH(E169,'2024_actual'!$A$59:$A$69,0),MATCH(C169,'2024_actual'!$B$58:$M$58,0)),
2025,INDEX('2025_actual'!$B$59:$M$69,MATCH(E169,'2025_actual'!$A$59:$A$69,0),MATCH(C169,'2025_actual'!$B$58:$M$58,0)),
2026,INDEX('2026_actual'!$B$59:$M$69,MATCH(E169,'2026_actual'!$A$59:$A$69,0),MATCH(C169,'2026_actual'!$B$58:$M$58,0))
)</f>
        <v>301250</v>
      </c>
      <c r="H169" s="13">
        <f t="shared" si="39"/>
        <v>-1415</v>
      </c>
      <c r="I169" s="10">
        <f t="shared" si="32"/>
        <v>-4.6751358762988785E-3</v>
      </c>
      <c r="J169" s="6" t="str">
        <f t="shared" si="40"/>
        <v>F</v>
      </c>
    </row>
    <row r="170" spans="1:10" x14ac:dyDescent="0.35">
      <c r="A170" s="26">
        <v>45839</v>
      </c>
      <c r="B170">
        <v>2025</v>
      </c>
      <c r="C170" t="s">
        <v>29</v>
      </c>
      <c r="D170" t="s">
        <v>15</v>
      </c>
      <c r="E170" t="s">
        <v>69</v>
      </c>
      <c r="F170" s="13" cm="1">
        <f t="array" ref="F170">_xlfn.SWITCH(B170,
2024,INDEX('2024_budget'!$B$59:$M$69,MATCH(E170,'2024_budget'!$A$59:$A$69,0),MATCH(C170,'2024_budget'!$B$58:$M$58,0)),
2025,INDEX('2025_budget'!$B$59:$M$69,MATCH(E170,'2025_budget'!$A$59:$A$69,0),MATCH(C170,'2025_budget'!$B$58:$M$58,0)),
2026,INDEX('2026_budget'!$B$59:$M$69,MATCH(E170,'2026_budget'!$A$59:$A$69,0),MATCH(C170,'2026_budget'!$B$58:$M$58,0))
)</f>
        <v>336106.66666666669</v>
      </c>
      <c r="G170" s="13" cm="1">
        <f t="array" ref="G170">_xlfn.SWITCH(B170,
2024,INDEX('2024_actual'!$B$59:$M$69,MATCH(E170,'2024_actual'!$A$59:$A$69,0),MATCH(C170,'2024_actual'!$B$58:$M$58,0)),
2025,INDEX('2025_actual'!$B$59:$M$69,MATCH(E170,'2025_actual'!$A$59:$A$69,0),MATCH(C170,'2025_actual'!$B$58:$M$58,0)),
2026,INDEX('2026_actual'!$B$59:$M$69,MATCH(E170,'2026_actual'!$A$59:$A$69,0),MATCH(C170,'2026_actual'!$B$58:$M$58,0))
)</f>
        <v>338500</v>
      </c>
      <c r="H170" s="13">
        <f t="shared" si="39"/>
        <v>2393.3333333333139</v>
      </c>
      <c r="I170" s="10">
        <f t="shared" si="32"/>
        <v>7.1207553157727121E-3</v>
      </c>
      <c r="J170" s="6" t="str">
        <f t="shared" si="40"/>
        <v>U</v>
      </c>
    </row>
    <row r="171" spans="1:10" x14ac:dyDescent="0.35">
      <c r="A171" s="26">
        <v>45839</v>
      </c>
      <c r="B171">
        <v>2025</v>
      </c>
      <c r="C171" t="s">
        <v>29</v>
      </c>
      <c r="D171" t="s">
        <v>146</v>
      </c>
      <c r="E171" t="s">
        <v>70</v>
      </c>
      <c r="F171" s="13" cm="1">
        <f t="array" ref="F171">_xlfn.SWITCH(B171,
2024,INDEX('2024_budget'!$B$59:$M$69,MATCH(E171,'2024_budget'!$A$59:$A$69,0),MATCH(C171,'2024_budget'!$B$58:$M$58,0)),
2025,INDEX('2025_budget'!$B$59:$M$69,MATCH(E171,'2025_budget'!$A$59:$A$69,0),MATCH(C171,'2025_budget'!$B$58:$M$58,0)),
2026,INDEX('2026_budget'!$B$59:$M$69,MATCH(E171,'2026_budget'!$A$59:$A$69,0),MATCH(C171,'2026_budget'!$B$58:$M$58,0))
)</f>
        <v>3320213.3333333335</v>
      </c>
      <c r="G171" s="13" cm="1">
        <f t="array" ref="G171">_xlfn.SWITCH(B171,
2024,INDEX('2024_actual'!$B$59:$M$69,MATCH(E171,'2024_actual'!$A$59:$A$69,0),MATCH(C171,'2024_actual'!$B$58:$M$58,0)),
2025,INDEX('2025_actual'!$B$59:$M$69,MATCH(E171,'2025_actual'!$A$59:$A$69,0),MATCH(C171,'2025_actual'!$B$58:$M$58,0)),
2026,INDEX('2026_actual'!$B$59:$M$69,MATCH(E171,'2026_actual'!$A$59:$A$69,0),MATCH(C171,'2026_actual'!$B$58:$M$58,0))
)</f>
        <v>3387050</v>
      </c>
      <c r="H171" s="13">
        <f t="shared" si="39"/>
        <v>66836.666666666511</v>
      </c>
      <c r="I171" s="10">
        <f t="shared" si="32"/>
        <v>2.0130232595495824E-2</v>
      </c>
      <c r="J171" s="6" t="str">
        <f t="shared" si="40"/>
        <v>U</v>
      </c>
    </row>
    <row r="172" spans="1:10" x14ac:dyDescent="0.35">
      <c r="A172" s="26">
        <v>45839</v>
      </c>
      <c r="B172">
        <v>2025</v>
      </c>
      <c r="C172" t="s">
        <v>29</v>
      </c>
      <c r="D172" t="s">
        <v>146</v>
      </c>
      <c r="E172" t="s">
        <v>71</v>
      </c>
      <c r="F172" s="13" cm="1">
        <f t="array" ref="F172">_xlfn.SWITCH(B172,
2024,INDEX('2024_budget'!$B$59:$M$69,MATCH(E172,'2024_budget'!$A$59:$A$69,0),MATCH(C172,'2024_budget'!$B$58:$M$58,0)),
2025,INDEX('2025_budget'!$B$59:$M$69,MATCH(E172,'2025_budget'!$A$59:$A$69,0),MATCH(C172,'2025_budget'!$B$58:$M$58,0)),
2026,INDEX('2026_budget'!$B$59:$M$69,MATCH(E172,'2026_budget'!$A$59:$A$69,0),MATCH(C172,'2026_budget'!$B$58:$M$58,0))
)</f>
        <v>359786.66666666651</v>
      </c>
      <c r="G172" s="13" cm="1">
        <f t="array" ref="G172">_xlfn.SWITCH(B172,
2024,INDEX('2024_actual'!$B$59:$M$69,MATCH(E172,'2024_actual'!$A$59:$A$69,0),MATCH(C172,'2024_actual'!$B$58:$M$58,0)),
2025,INDEX('2025_actual'!$B$59:$M$69,MATCH(E172,'2025_actual'!$A$59:$A$69,0),MATCH(C172,'2025_actual'!$B$58:$M$58,0)),
2026,INDEX('2026_actual'!$B$59:$M$69,MATCH(E172,'2026_actual'!$A$59:$A$69,0),MATCH(C172,'2026_actual'!$B$58:$M$58,0))
)</f>
        <v>397950</v>
      </c>
      <c r="H172" s="13">
        <f t="shared" si="39"/>
        <v>38163.333333333489</v>
      </c>
      <c r="I172" s="10">
        <f t="shared" si="32"/>
        <v>0.10607211680996194</v>
      </c>
      <c r="J172" s="6" t="str">
        <f>IF(G172&gt;=F172,"F","U")</f>
        <v>F</v>
      </c>
    </row>
    <row r="173" spans="1:10" x14ac:dyDescent="0.35">
      <c r="A173" s="26">
        <v>45870</v>
      </c>
      <c r="B173">
        <v>2025</v>
      </c>
      <c r="C173" t="s">
        <v>30</v>
      </c>
      <c r="D173" t="s">
        <v>146</v>
      </c>
      <c r="E173" t="s">
        <v>6</v>
      </c>
      <c r="F173" s="13" cm="1">
        <f t="array" ref="F173">_xlfn.SWITCH(B173,
2024,INDEX('2024_budget'!$B$59:$M$69,MATCH(E173,'2024_budget'!$A$59:$A$69,0),MATCH(C173,'2024_budget'!$B$58:$M$58,0)),
2025,INDEX('2025_budget'!$B$59:$M$69,MATCH(E173,'2025_budget'!$A$59:$A$69,0),MATCH(C173,'2025_budget'!$B$58:$M$58,0)),
2026,INDEX('2026_budget'!$B$59:$M$69,MATCH(E173,'2026_budget'!$A$59:$A$69,0),MATCH(C173,'2026_budget'!$B$58:$M$58,0))
)</f>
        <v>3680000</v>
      </c>
      <c r="G173" s="13" cm="1">
        <f t="array" ref="G173">_xlfn.SWITCH(B173,
2024,INDEX('2024_actual'!$B$59:$M$69,MATCH(E173,'2024_actual'!$A$59:$A$69,0),MATCH(C173,'2024_actual'!$B$58:$M$58,0)),
2025,INDEX('2025_actual'!$B$59:$M$69,MATCH(E173,'2025_actual'!$A$59:$A$69,0),MATCH(C173,'2025_actual'!$B$58:$M$58,0)),
2026,INDEX('2026_actual'!$B$59:$M$69,MATCH(E173,'2026_actual'!$A$59:$A$69,0),MATCH(C173,'2026_actual'!$B$58:$M$58,0))
)</f>
        <v>3820000</v>
      </c>
      <c r="H173" s="13">
        <f>G173-F173</f>
        <v>140000</v>
      </c>
      <c r="I173" s="10">
        <f t="shared" si="32"/>
        <v>3.8043478260869568E-2</v>
      </c>
      <c r="J173" s="6" t="str">
        <f>IF(G173&gt;=F173,"F","U")</f>
        <v>F</v>
      </c>
    </row>
    <row r="174" spans="1:10" x14ac:dyDescent="0.35">
      <c r="A174" s="26">
        <v>45870</v>
      </c>
      <c r="B174">
        <v>2025</v>
      </c>
      <c r="C174" t="s">
        <v>30</v>
      </c>
      <c r="D174" t="s">
        <v>11</v>
      </c>
      <c r="E174" t="s">
        <v>64</v>
      </c>
      <c r="F174" s="13" cm="1">
        <f t="array" ref="F174">_xlfn.SWITCH(B174,
2024,INDEX('2024_budget'!$B$59:$M$69,MATCH(E174,'2024_budget'!$A$59:$A$69,0),MATCH(C174,'2024_budget'!$B$58:$M$58,0)),
2025,INDEX('2025_budget'!$B$59:$M$69,MATCH(E174,'2025_budget'!$A$59:$A$69,0),MATCH(C174,'2025_budget'!$B$58:$M$58,0)),
2026,INDEX('2026_budget'!$B$59:$M$69,MATCH(E174,'2026_budget'!$A$59:$A$69,0),MATCH(C174,'2026_budget'!$B$58:$M$58,0))
)</f>
        <v>764183.33333333337</v>
      </c>
      <c r="G174" s="13" cm="1">
        <f t="array" ref="G174">_xlfn.SWITCH(B174,
2024,INDEX('2024_actual'!$B$59:$M$69,MATCH(E174,'2024_actual'!$A$59:$A$69,0),MATCH(C174,'2024_actual'!$B$58:$M$58,0)),
2025,INDEX('2025_actual'!$B$59:$M$69,MATCH(E174,'2025_actual'!$A$59:$A$69,0),MATCH(C174,'2025_actual'!$B$58:$M$58,0)),
2026,INDEX('2026_actual'!$B$59:$M$69,MATCH(E174,'2026_actual'!$A$59:$A$69,0),MATCH(C174,'2026_actual'!$B$58:$M$58,0))
)</f>
        <v>780750</v>
      </c>
      <c r="H174" s="13">
        <f t="shared" ref="H174:H181" si="41">G174-F174</f>
        <v>16566.666666666628</v>
      </c>
      <c r="I174" s="10">
        <f t="shared" si="32"/>
        <v>2.1678916490370931E-2</v>
      </c>
      <c r="J174" s="6" t="str">
        <f>IF(G174&lt;=F174,"F","U")</f>
        <v>U</v>
      </c>
    </row>
    <row r="175" spans="1:10" x14ac:dyDescent="0.35">
      <c r="A175" s="26">
        <v>45870</v>
      </c>
      <c r="B175">
        <v>2025</v>
      </c>
      <c r="C175" t="s">
        <v>30</v>
      </c>
      <c r="D175" t="s">
        <v>13</v>
      </c>
      <c r="E175" t="s">
        <v>65</v>
      </c>
      <c r="F175" s="13" cm="1">
        <f t="array" ref="F175">_xlfn.SWITCH(B175,
2024,INDEX('2024_budget'!$B$59:$M$69,MATCH(E175,'2024_budget'!$A$59:$A$69,0),MATCH(C175,'2024_budget'!$B$58:$M$58,0)),
2025,INDEX('2025_budget'!$B$59:$M$69,MATCH(E175,'2025_budget'!$A$59:$A$69,0),MATCH(C175,'2025_budget'!$B$58:$M$58,0)),
2026,INDEX('2026_budget'!$B$59:$M$69,MATCH(E175,'2026_budget'!$A$59:$A$69,0),MATCH(C175,'2026_budget'!$B$58:$M$58,0))
)</f>
        <v>446153.33333333331</v>
      </c>
      <c r="G175" s="13" cm="1">
        <f t="array" ref="G175">_xlfn.SWITCH(B175,
2024,INDEX('2024_actual'!$B$59:$M$69,MATCH(E175,'2024_actual'!$A$59:$A$69,0),MATCH(C175,'2024_actual'!$B$58:$M$58,0)),
2025,INDEX('2025_actual'!$B$59:$M$69,MATCH(E175,'2025_actual'!$A$59:$A$69,0),MATCH(C175,'2025_actual'!$B$58:$M$58,0)),
2026,INDEX('2026_actual'!$B$59:$M$69,MATCH(E175,'2026_actual'!$A$59:$A$69,0),MATCH(C175,'2026_actual'!$B$58:$M$58,0))
)</f>
        <v>477700</v>
      </c>
      <c r="H175" s="13">
        <f t="shared" si="41"/>
        <v>31546.666666666686</v>
      </c>
      <c r="I175" s="10">
        <f t="shared" si="32"/>
        <v>7.0708127250721023E-2</v>
      </c>
      <c r="J175" s="6" t="str">
        <f t="shared" ref="J175:J180" si="42">IF(G175&lt;=F175,"F","U")</f>
        <v>U</v>
      </c>
    </row>
    <row r="176" spans="1:10" x14ac:dyDescent="0.35">
      <c r="A176" s="26">
        <v>45870</v>
      </c>
      <c r="B176">
        <v>2025</v>
      </c>
      <c r="C176" t="s">
        <v>30</v>
      </c>
      <c r="D176" t="s">
        <v>10</v>
      </c>
      <c r="E176" t="s">
        <v>66</v>
      </c>
      <c r="F176" s="13" cm="1">
        <f t="array" ref="F176">_xlfn.SWITCH(B176,
2024,INDEX('2024_budget'!$B$59:$M$69,MATCH(E176,'2024_budget'!$A$59:$A$69,0),MATCH(C176,'2024_budget'!$B$58:$M$58,0)),
2025,INDEX('2025_budget'!$B$59:$M$69,MATCH(E176,'2025_budget'!$A$59:$A$69,0),MATCH(C176,'2025_budget'!$B$58:$M$58,0)),
2026,INDEX('2026_budget'!$B$59:$M$69,MATCH(E176,'2026_budget'!$A$59:$A$69,0),MATCH(C176,'2026_budget'!$B$58:$M$58,0))
)</f>
        <v>1222980</v>
      </c>
      <c r="G176" s="13" cm="1">
        <f t="array" ref="G176">_xlfn.SWITCH(B176,
2024,INDEX('2024_actual'!$B$59:$M$69,MATCH(E176,'2024_actual'!$A$59:$A$69,0),MATCH(C176,'2024_actual'!$B$58:$M$58,0)),
2025,INDEX('2025_actual'!$B$59:$M$69,MATCH(E176,'2025_actual'!$A$59:$A$69,0),MATCH(C176,'2025_actual'!$B$58:$M$58,0)),
2026,INDEX('2026_actual'!$B$59:$M$69,MATCH(E176,'2026_actual'!$A$59:$A$69,0),MATCH(C176,'2026_actual'!$B$58:$M$58,0))
)</f>
        <v>1249000</v>
      </c>
      <c r="H176" s="13">
        <f t="shared" si="41"/>
        <v>26020</v>
      </c>
      <c r="I176" s="10">
        <f t="shared" si="32"/>
        <v>2.1275899851183177E-2</v>
      </c>
      <c r="J176" s="6" t="str">
        <f t="shared" si="42"/>
        <v>U</v>
      </c>
    </row>
    <row r="177" spans="1:10" x14ac:dyDescent="0.35">
      <c r="A177" s="26">
        <v>45870</v>
      </c>
      <c r="B177">
        <v>2025</v>
      </c>
      <c r="C177" t="s">
        <v>30</v>
      </c>
      <c r="D177" t="s">
        <v>14</v>
      </c>
      <c r="E177" t="s">
        <v>67</v>
      </c>
      <c r="F177" s="13" cm="1">
        <f t="array" ref="F177">_xlfn.SWITCH(B177,
2024,INDEX('2024_budget'!$B$59:$M$69,MATCH(E177,'2024_budget'!$A$59:$A$69,0),MATCH(C177,'2024_budget'!$B$58:$M$58,0)),
2025,INDEX('2025_budget'!$B$59:$M$69,MATCH(E177,'2025_budget'!$A$59:$A$69,0),MATCH(C177,'2025_budget'!$B$58:$M$58,0)),
2026,INDEX('2026_budget'!$B$59:$M$69,MATCH(E177,'2026_budget'!$A$59:$A$69,0),MATCH(C177,'2026_budget'!$B$58:$M$58,0))
)</f>
        <v>248125</v>
      </c>
      <c r="G177" s="13" cm="1">
        <f t="array" ref="G177">_xlfn.SWITCH(B177,
2024,INDEX('2024_actual'!$B$59:$M$69,MATCH(E177,'2024_actual'!$A$59:$A$69,0),MATCH(C177,'2024_actual'!$B$58:$M$58,0)),
2025,INDEX('2025_actual'!$B$59:$M$69,MATCH(E177,'2025_actual'!$A$59:$A$69,0),MATCH(C177,'2025_actual'!$B$58:$M$58,0)),
2026,INDEX('2026_actual'!$B$59:$M$69,MATCH(E177,'2026_actual'!$A$59:$A$69,0),MATCH(C177,'2026_actual'!$B$58:$M$58,0))
)</f>
        <v>249850</v>
      </c>
      <c r="H177" s="13">
        <f t="shared" si="41"/>
        <v>1725</v>
      </c>
      <c r="I177" s="10">
        <f t="shared" si="32"/>
        <v>6.952141057934509E-3</v>
      </c>
      <c r="J177" s="6" t="str">
        <f t="shared" si="42"/>
        <v>U</v>
      </c>
    </row>
    <row r="178" spans="1:10" x14ac:dyDescent="0.35">
      <c r="A178" s="26">
        <v>45870</v>
      </c>
      <c r="B178">
        <v>2025</v>
      </c>
      <c r="C178" t="s">
        <v>30</v>
      </c>
      <c r="D178" t="s">
        <v>12</v>
      </c>
      <c r="E178" t="s">
        <v>68</v>
      </c>
      <c r="F178" s="13" cm="1">
        <f t="array" ref="F178">_xlfn.SWITCH(B178,
2024,INDEX('2024_budget'!$B$59:$M$69,MATCH(E178,'2024_budget'!$A$59:$A$69,0),MATCH(C178,'2024_budget'!$B$58:$M$58,0)),
2025,INDEX('2025_budget'!$B$59:$M$69,MATCH(E178,'2025_budget'!$A$59:$A$69,0),MATCH(C178,'2025_budget'!$B$58:$M$58,0)),
2026,INDEX('2026_budget'!$B$59:$M$69,MATCH(E178,'2026_budget'!$A$59:$A$69,0),MATCH(C178,'2026_budget'!$B$58:$M$58,0))
)</f>
        <v>302665</v>
      </c>
      <c r="G178" s="13" cm="1">
        <f t="array" ref="G178">_xlfn.SWITCH(B178,
2024,INDEX('2024_actual'!$B$59:$M$69,MATCH(E178,'2024_actual'!$A$59:$A$69,0),MATCH(C178,'2024_actual'!$B$58:$M$58,0)),
2025,INDEX('2025_actual'!$B$59:$M$69,MATCH(E178,'2025_actual'!$A$59:$A$69,0),MATCH(C178,'2025_actual'!$B$58:$M$58,0)),
2026,INDEX('2026_actual'!$B$59:$M$69,MATCH(E178,'2026_actual'!$A$59:$A$69,0),MATCH(C178,'2026_actual'!$B$58:$M$58,0))
)</f>
        <v>301750</v>
      </c>
      <c r="H178" s="13">
        <f t="shared" si="41"/>
        <v>-915</v>
      </c>
      <c r="I178" s="10">
        <f t="shared" si="32"/>
        <v>-3.0231444005748929E-3</v>
      </c>
      <c r="J178" s="6" t="str">
        <f t="shared" si="42"/>
        <v>F</v>
      </c>
    </row>
    <row r="179" spans="1:10" x14ac:dyDescent="0.35">
      <c r="A179" s="26">
        <v>45870</v>
      </c>
      <c r="B179">
        <v>2025</v>
      </c>
      <c r="C179" t="s">
        <v>30</v>
      </c>
      <c r="D179" t="s">
        <v>15</v>
      </c>
      <c r="E179" t="s">
        <v>69</v>
      </c>
      <c r="F179" s="13" cm="1">
        <f t="array" ref="F179">_xlfn.SWITCH(B179,
2024,INDEX('2024_budget'!$B$59:$M$69,MATCH(E179,'2024_budget'!$A$59:$A$69,0),MATCH(C179,'2024_budget'!$B$58:$M$58,0)),
2025,INDEX('2025_budget'!$B$59:$M$69,MATCH(E179,'2025_budget'!$A$59:$A$69,0),MATCH(C179,'2025_budget'!$B$58:$M$58,0)),
2026,INDEX('2026_budget'!$B$59:$M$69,MATCH(E179,'2026_budget'!$A$59:$A$69,0),MATCH(C179,'2026_budget'!$B$58:$M$58,0))
)</f>
        <v>336106.66666666669</v>
      </c>
      <c r="G179" s="13" cm="1">
        <f t="array" ref="G179">_xlfn.SWITCH(B179,
2024,INDEX('2024_actual'!$B$59:$M$69,MATCH(E179,'2024_actual'!$A$59:$A$69,0),MATCH(C179,'2024_actual'!$B$58:$M$58,0)),
2025,INDEX('2025_actual'!$B$59:$M$69,MATCH(E179,'2025_actual'!$A$59:$A$69,0),MATCH(C179,'2025_actual'!$B$58:$M$58,0)),
2026,INDEX('2026_actual'!$B$59:$M$69,MATCH(E179,'2026_actual'!$A$59:$A$69,0),MATCH(C179,'2026_actual'!$B$58:$M$58,0))
)</f>
        <v>338500</v>
      </c>
      <c r="H179" s="13">
        <f t="shared" si="41"/>
        <v>2393.3333333333139</v>
      </c>
      <c r="I179" s="10">
        <f t="shared" si="32"/>
        <v>7.1207553157727121E-3</v>
      </c>
      <c r="J179" s="6" t="str">
        <f t="shared" si="42"/>
        <v>U</v>
      </c>
    </row>
    <row r="180" spans="1:10" x14ac:dyDescent="0.35">
      <c r="A180" s="26">
        <v>45870</v>
      </c>
      <c r="B180">
        <v>2025</v>
      </c>
      <c r="C180" t="s">
        <v>30</v>
      </c>
      <c r="D180" t="s">
        <v>146</v>
      </c>
      <c r="E180" t="s">
        <v>70</v>
      </c>
      <c r="F180" s="13" cm="1">
        <f t="array" ref="F180">_xlfn.SWITCH(B180,
2024,INDEX('2024_budget'!$B$59:$M$69,MATCH(E180,'2024_budget'!$A$59:$A$69,0),MATCH(C180,'2024_budget'!$B$58:$M$58,0)),
2025,INDEX('2025_budget'!$B$59:$M$69,MATCH(E180,'2025_budget'!$A$59:$A$69,0),MATCH(C180,'2025_budget'!$B$58:$M$58,0)),
2026,INDEX('2026_budget'!$B$59:$M$69,MATCH(E180,'2026_budget'!$A$59:$A$69,0),MATCH(C180,'2026_budget'!$B$58:$M$58,0))
)</f>
        <v>3320213.3333333335</v>
      </c>
      <c r="G180" s="13" cm="1">
        <f t="array" ref="G180">_xlfn.SWITCH(B180,
2024,INDEX('2024_actual'!$B$59:$M$69,MATCH(E180,'2024_actual'!$A$59:$A$69,0),MATCH(C180,'2024_actual'!$B$58:$M$58,0)),
2025,INDEX('2025_actual'!$B$59:$M$69,MATCH(E180,'2025_actual'!$A$59:$A$69,0),MATCH(C180,'2025_actual'!$B$58:$M$58,0)),
2026,INDEX('2026_actual'!$B$59:$M$69,MATCH(E180,'2026_actual'!$A$59:$A$69,0),MATCH(C180,'2026_actual'!$B$58:$M$58,0))
)</f>
        <v>3397550</v>
      </c>
      <c r="H180" s="13">
        <f t="shared" si="41"/>
        <v>77336.666666666511</v>
      </c>
      <c r="I180" s="10">
        <f t="shared" si="32"/>
        <v>2.3292679988434432E-2</v>
      </c>
      <c r="J180" s="6" t="str">
        <f t="shared" si="42"/>
        <v>U</v>
      </c>
    </row>
    <row r="181" spans="1:10" x14ac:dyDescent="0.35">
      <c r="A181" s="26">
        <v>45870</v>
      </c>
      <c r="B181">
        <v>2025</v>
      </c>
      <c r="C181" t="s">
        <v>30</v>
      </c>
      <c r="D181" t="s">
        <v>146</v>
      </c>
      <c r="E181" t="s">
        <v>71</v>
      </c>
      <c r="F181" s="13" cm="1">
        <f t="array" ref="F181">_xlfn.SWITCH(B181,
2024,INDEX('2024_budget'!$B$59:$M$69,MATCH(E181,'2024_budget'!$A$59:$A$69,0),MATCH(C181,'2024_budget'!$B$58:$M$58,0)),
2025,INDEX('2025_budget'!$B$59:$M$69,MATCH(E181,'2025_budget'!$A$59:$A$69,0),MATCH(C181,'2025_budget'!$B$58:$M$58,0)),
2026,INDEX('2026_budget'!$B$59:$M$69,MATCH(E181,'2026_budget'!$A$59:$A$69,0),MATCH(C181,'2026_budget'!$B$58:$M$58,0))
)</f>
        <v>359786.66666666651</v>
      </c>
      <c r="G181" s="13" cm="1">
        <f t="array" ref="G181">_xlfn.SWITCH(B181,
2024,INDEX('2024_actual'!$B$59:$M$69,MATCH(E181,'2024_actual'!$A$59:$A$69,0),MATCH(C181,'2024_actual'!$B$58:$M$58,0)),
2025,INDEX('2025_actual'!$B$59:$M$69,MATCH(E181,'2025_actual'!$A$59:$A$69,0),MATCH(C181,'2025_actual'!$B$58:$M$58,0)),
2026,INDEX('2026_actual'!$B$59:$M$69,MATCH(E181,'2026_actual'!$A$59:$A$69,0),MATCH(C181,'2026_actual'!$B$58:$M$58,0))
)</f>
        <v>422450</v>
      </c>
      <c r="H181" s="13">
        <f t="shared" si="41"/>
        <v>62663.333333333489</v>
      </c>
      <c r="I181" s="10">
        <f t="shared" si="32"/>
        <v>0.17416802549659108</v>
      </c>
      <c r="J181" s="6" t="str">
        <f>IF(G181&gt;=F181,"F","U")</f>
        <v>F</v>
      </c>
    </row>
    <row r="182" spans="1:10" x14ac:dyDescent="0.35">
      <c r="A182" s="26">
        <v>45901</v>
      </c>
      <c r="B182">
        <v>2025</v>
      </c>
      <c r="C182" t="s">
        <v>31</v>
      </c>
      <c r="D182" t="s">
        <v>146</v>
      </c>
      <c r="E182" t="s">
        <v>6</v>
      </c>
      <c r="F182" s="13" cm="1">
        <f t="array" ref="F182">_xlfn.SWITCH(B182,
2024,INDEX('2024_budget'!$B$59:$M$69,MATCH(E182,'2024_budget'!$A$59:$A$69,0),MATCH(C182,'2024_budget'!$B$58:$M$58,0)),
2025,INDEX('2025_budget'!$B$59:$M$69,MATCH(E182,'2025_budget'!$A$59:$A$69,0),MATCH(C182,'2025_budget'!$B$58:$M$58,0)),
2026,INDEX('2026_budget'!$B$59:$M$69,MATCH(E182,'2026_budget'!$A$59:$A$69,0),MATCH(C182,'2026_budget'!$B$58:$M$58,0))
)</f>
        <v>4140000</v>
      </c>
      <c r="G182" s="13" cm="1">
        <f t="array" ref="G182">_xlfn.SWITCH(B182,
2024,INDEX('2024_actual'!$B$59:$M$69,MATCH(E182,'2024_actual'!$A$59:$A$69,0),MATCH(C182,'2024_actual'!$B$58:$M$58,0)),
2025,INDEX('2025_actual'!$B$59:$M$69,MATCH(E182,'2025_actual'!$A$59:$A$69,0),MATCH(C182,'2025_actual'!$B$58:$M$58,0)),
2026,INDEX('2026_actual'!$B$59:$M$69,MATCH(E182,'2026_actual'!$A$59:$A$69,0),MATCH(C182,'2026_actual'!$B$58:$M$58,0))
)</f>
        <v>4250000</v>
      </c>
      <c r="H182" s="13">
        <f>G182-F182</f>
        <v>110000</v>
      </c>
      <c r="I182" s="10">
        <f t="shared" si="32"/>
        <v>2.6570048309178744E-2</v>
      </c>
      <c r="J182" s="6" t="str">
        <f>IF(G182&gt;=F182,"F","U")</f>
        <v>F</v>
      </c>
    </row>
    <row r="183" spans="1:10" x14ac:dyDescent="0.35">
      <c r="A183" s="26">
        <v>45901</v>
      </c>
      <c r="B183">
        <v>2025</v>
      </c>
      <c r="C183" t="s">
        <v>31</v>
      </c>
      <c r="D183" t="s">
        <v>11</v>
      </c>
      <c r="E183" t="s">
        <v>64</v>
      </c>
      <c r="F183" s="13" cm="1">
        <f t="array" ref="F183">_xlfn.SWITCH(B183,
2024,INDEX('2024_budget'!$B$59:$M$69,MATCH(E183,'2024_budget'!$A$59:$A$69,0),MATCH(C183,'2024_budget'!$B$58:$M$58,0)),
2025,INDEX('2025_budget'!$B$59:$M$69,MATCH(E183,'2025_budget'!$A$59:$A$69,0),MATCH(C183,'2025_budget'!$B$58:$M$58,0)),
2026,INDEX('2026_budget'!$B$59:$M$69,MATCH(E183,'2026_budget'!$A$59:$A$69,0),MATCH(C183,'2026_budget'!$B$58:$M$58,0))
)</f>
        <v>784883.33333333337</v>
      </c>
      <c r="G183" s="13" cm="1">
        <f t="array" ref="G183">_xlfn.SWITCH(B183,
2024,INDEX('2024_actual'!$B$59:$M$69,MATCH(E183,'2024_actual'!$A$59:$A$69,0),MATCH(C183,'2024_actual'!$B$58:$M$58,0)),
2025,INDEX('2025_actual'!$B$59:$M$69,MATCH(E183,'2025_actual'!$A$59:$A$69,0),MATCH(C183,'2025_actual'!$B$58:$M$58,0)),
2026,INDEX('2026_actual'!$B$59:$M$69,MATCH(E183,'2026_actual'!$A$59:$A$69,0),MATCH(C183,'2026_actual'!$B$58:$M$58,0))
)</f>
        <v>807250</v>
      </c>
      <c r="H183" s="13">
        <f t="shared" ref="H183:H190" si="43">G183-F183</f>
        <v>22366.666666666628</v>
      </c>
      <c r="I183" s="10">
        <f t="shared" si="32"/>
        <v>2.849680419595264E-2</v>
      </c>
      <c r="J183" s="6" t="str">
        <f>IF(G183&lt;=F183,"F","U")</f>
        <v>U</v>
      </c>
    </row>
    <row r="184" spans="1:10" x14ac:dyDescent="0.35">
      <c r="A184" s="26">
        <v>45901</v>
      </c>
      <c r="B184">
        <v>2025</v>
      </c>
      <c r="C184" t="s">
        <v>31</v>
      </c>
      <c r="D184" t="s">
        <v>13</v>
      </c>
      <c r="E184" t="s">
        <v>65</v>
      </c>
      <c r="F184" s="13" cm="1">
        <f t="array" ref="F184">_xlfn.SWITCH(B184,
2024,INDEX('2024_budget'!$B$59:$M$69,MATCH(E184,'2024_budget'!$A$59:$A$69,0),MATCH(C184,'2024_budget'!$B$58:$M$58,0)),
2025,INDEX('2025_budget'!$B$59:$M$69,MATCH(E184,'2025_budget'!$A$59:$A$69,0),MATCH(C184,'2025_budget'!$B$58:$M$58,0)),
2026,INDEX('2026_budget'!$B$59:$M$69,MATCH(E184,'2026_budget'!$A$59:$A$69,0),MATCH(C184,'2026_budget'!$B$58:$M$58,0))
)</f>
        <v>473753.33333333331</v>
      </c>
      <c r="G184" s="13" cm="1">
        <f t="array" ref="G184">_xlfn.SWITCH(B184,
2024,INDEX('2024_actual'!$B$59:$M$69,MATCH(E184,'2024_actual'!$A$59:$A$69,0),MATCH(C184,'2024_actual'!$B$58:$M$58,0)),
2025,INDEX('2025_actual'!$B$59:$M$69,MATCH(E184,'2025_actual'!$A$59:$A$69,0),MATCH(C184,'2025_actual'!$B$58:$M$58,0)),
2026,INDEX('2026_actual'!$B$59:$M$69,MATCH(E184,'2026_actual'!$A$59:$A$69,0),MATCH(C184,'2026_actual'!$B$58:$M$58,0))
)</f>
        <v>498900</v>
      </c>
      <c r="H184" s="13">
        <f t="shared" si="43"/>
        <v>25146.666666666686</v>
      </c>
      <c r="I184" s="10">
        <f t="shared" si="32"/>
        <v>5.3079661708624784E-2</v>
      </c>
      <c r="J184" s="6" t="str">
        <f t="shared" ref="J184:J189" si="44">IF(G184&lt;=F184,"F","U")</f>
        <v>U</v>
      </c>
    </row>
    <row r="185" spans="1:10" x14ac:dyDescent="0.35">
      <c r="A185" s="26">
        <v>45901</v>
      </c>
      <c r="B185">
        <v>2025</v>
      </c>
      <c r="C185" t="s">
        <v>31</v>
      </c>
      <c r="D185" t="s">
        <v>10</v>
      </c>
      <c r="E185" t="s">
        <v>66</v>
      </c>
      <c r="F185" s="13" cm="1">
        <f t="array" ref="F185">_xlfn.SWITCH(B185,
2024,INDEX('2024_budget'!$B$59:$M$69,MATCH(E185,'2024_budget'!$A$59:$A$69,0),MATCH(C185,'2024_budget'!$B$58:$M$58,0)),
2025,INDEX('2025_budget'!$B$59:$M$69,MATCH(E185,'2025_budget'!$A$59:$A$69,0),MATCH(C185,'2025_budget'!$B$58:$M$58,0)),
2026,INDEX('2026_budget'!$B$59:$M$69,MATCH(E185,'2026_budget'!$A$59:$A$69,0),MATCH(C185,'2026_budget'!$B$58:$M$58,0))
)</f>
        <v>1241380</v>
      </c>
      <c r="G185" s="13" cm="1">
        <f t="array" ref="G185">_xlfn.SWITCH(B185,
2024,INDEX('2024_actual'!$B$59:$M$69,MATCH(E185,'2024_actual'!$A$59:$A$69,0),MATCH(C185,'2024_actual'!$B$58:$M$58,0)),
2025,INDEX('2025_actual'!$B$59:$M$69,MATCH(E185,'2025_actual'!$A$59:$A$69,0),MATCH(C185,'2025_actual'!$B$58:$M$58,0)),
2026,INDEX('2026_actual'!$B$59:$M$69,MATCH(E185,'2026_actual'!$A$59:$A$69,0),MATCH(C185,'2026_actual'!$B$58:$M$58,0))
)</f>
        <v>1262000</v>
      </c>
      <c r="H185" s="13">
        <f t="shared" si="43"/>
        <v>20620</v>
      </c>
      <c r="I185" s="10">
        <f t="shared" si="32"/>
        <v>1.6610546327474263E-2</v>
      </c>
      <c r="J185" s="6" t="str">
        <f t="shared" si="44"/>
        <v>U</v>
      </c>
    </row>
    <row r="186" spans="1:10" x14ac:dyDescent="0.35">
      <c r="A186" s="26">
        <v>45901</v>
      </c>
      <c r="B186">
        <v>2025</v>
      </c>
      <c r="C186" t="s">
        <v>31</v>
      </c>
      <c r="D186" t="s">
        <v>14</v>
      </c>
      <c r="E186" t="s">
        <v>67</v>
      </c>
      <c r="F186" s="13" cm="1">
        <f t="array" ref="F186">_xlfn.SWITCH(B186,
2024,INDEX('2024_budget'!$B$59:$M$69,MATCH(E186,'2024_budget'!$A$59:$A$69,0),MATCH(C186,'2024_budget'!$B$58:$M$58,0)),
2025,INDEX('2025_budget'!$B$59:$M$69,MATCH(E186,'2025_budget'!$A$59:$A$69,0),MATCH(C186,'2025_budget'!$B$58:$M$58,0)),
2026,INDEX('2026_budget'!$B$59:$M$69,MATCH(E186,'2026_budget'!$A$59:$A$69,0),MATCH(C186,'2026_budget'!$B$58:$M$58,0))
)</f>
        <v>248125</v>
      </c>
      <c r="G186" s="13" cm="1">
        <f t="array" ref="G186">_xlfn.SWITCH(B186,
2024,INDEX('2024_actual'!$B$59:$M$69,MATCH(E186,'2024_actual'!$A$59:$A$69,0),MATCH(C186,'2024_actual'!$B$58:$M$58,0)),
2025,INDEX('2025_actual'!$B$59:$M$69,MATCH(E186,'2025_actual'!$A$59:$A$69,0),MATCH(C186,'2025_actual'!$B$58:$M$58,0)),
2026,INDEX('2026_actual'!$B$59:$M$69,MATCH(E186,'2026_actual'!$A$59:$A$69,0),MATCH(C186,'2026_actual'!$B$58:$M$58,0))
)</f>
        <v>252050</v>
      </c>
      <c r="H186" s="13">
        <f t="shared" si="43"/>
        <v>3925</v>
      </c>
      <c r="I186" s="10">
        <f t="shared" si="32"/>
        <v>1.5818639798488666E-2</v>
      </c>
      <c r="J186" s="6" t="str">
        <f t="shared" si="44"/>
        <v>U</v>
      </c>
    </row>
    <row r="187" spans="1:10" x14ac:dyDescent="0.35">
      <c r="A187" s="26">
        <v>45901</v>
      </c>
      <c r="B187">
        <v>2025</v>
      </c>
      <c r="C187" t="s">
        <v>31</v>
      </c>
      <c r="D187" t="s">
        <v>12</v>
      </c>
      <c r="E187" t="s">
        <v>68</v>
      </c>
      <c r="F187" s="13" cm="1">
        <f t="array" ref="F187">_xlfn.SWITCH(B187,
2024,INDEX('2024_budget'!$B$59:$M$69,MATCH(E187,'2024_budget'!$A$59:$A$69,0),MATCH(C187,'2024_budget'!$B$58:$M$58,0)),
2025,INDEX('2025_budget'!$B$59:$M$69,MATCH(E187,'2025_budget'!$A$59:$A$69,0),MATCH(C187,'2025_budget'!$B$58:$M$58,0)),
2026,INDEX('2026_budget'!$B$59:$M$69,MATCH(E187,'2026_budget'!$A$59:$A$69,0),MATCH(C187,'2026_budget'!$B$58:$M$58,0))
)</f>
        <v>302665</v>
      </c>
      <c r="G187" s="13" cm="1">
        <f t="array" ref="G187">_xlfn.SWITCH(B187,
2024,INDEX('2024_actual'!$B$59:$M$69,MATCH(E187,'2024_actual'!$A$59:$A$69,0),MATCH(C187,'2024_actual'!$B$58:$M$58,0)),
2025,INDEX('2025_actual'!$B$59:$M$69,MATCH(E187,'2025_actual'!$A$59:$A$69,0),MATCH(C187,'2025_actual'!$B$58:$M$58,0)),
2026,INDEX('2026_actual'!$B$59:$M$69,MATCH(E187,'2026_actual'!$A$59:$A$69,0),MATCH(C187,'2026_actual'!$B$58:$M$58,0))
)</f>
        <v>302950</v>
      </c>
      <c r="H187" s="13">
        <f t="shared" si="43"/>
        <v>285</v>
      </c>
      <c r="I187" s="10">
        <f t="shared" si="32"/>
        <v>9.4163514116267163E-4</v>
      </c>
      <c r="J187" s="6" t="str">
        <f t="shared" si="44"/>
        <v>U</v>
      </c>
    </row>
    <row r="188" spans="1:10" x14ac:dyDescent="0.35">
      <c r="A188" s="26">
        <v>45901</v>
      </c>
      <c r="B188">
        <v>2025</v>
      </c>
      <c r="C188" t="s">
        <v>31</v>
      </c>
      <c r="D188" t="s">
        <v>15</v>
      </c>
      <c r="E188" t="s">
        <v>69</v>
      </c>
      <c r="F188" s="13" cm="1">
        <f t="array" ref="F188">_xlfn.SWITCH(B188,
2024,INDEX('2024_budget'!$B$59:$M$69,MATCH(E188,'2024_budget'!$A$59:$A$69,0),MATCH(C188,'2024_budget'!$B$58:$M$58,0)),
2025,INDEX('2025_budget'!$B$59:$M$69,MATCH(E188,'2025_budget'!$A$59:$A$69,0),MATCH(C188,'2025_budget'!$B$58:$M$58,0)),
2026,INDEX('2026_budget'!$B$59:$M$69,MATCH(E188,'2026_budget'!$A$59:$A$69,0),MATCH(C188,'2026_budget'!$B$58:$M$58,0))
)</f>
        <v>336106.66666666669</v>
      </c>
      <c r="G188" s="13" cm="1">
        <f t="array" ref="G188">_xlfn.SWITCH(B188,
2024,INDEX('2024_actual'!$B$59:$M$69,MATCH(E188,'2024_actual'!$A$59:$A$69,0),MATCH(C188,'2024_actual'!$B$58:$M$58,0)),
2025,INDEX('2025_actual'!$B$59:$M$69,MATCH(E188,'2025_actual'!$A$59:$A$69,0),MATCH(C188,'2025_actual'!$B$58:$M$58,0)),
2026,INDEX('2026_actual'!$B$59:$M$69,MATCH(E188,'2026_actual'!$A$59:$A$69,0),MATCH(C188,'2026_actual'!$B$58:$M$58,0))
)</f>
        <v>340700</v>
      </c>
      <c r="H188" s="13">
        <f t="shared" si="43"/>
        <v>4593.3333333333139</v>
      </c>
      <c r="I188" s="10">
        <f t="shared" si="32"/>
        <v>1.3666296413836819E-2</v>
      </c>
      <c r="J188" s="6" t="str">
        <f t="shared" si="44"/>
        <v>U</v>
      </c>
    </row>
    <row r="189" spans="1:10" x14ac:dyDescent="0.35">
      <c r="A189" s="26">
        <v>45901</v>
      </c>
      <c r="B189">
        <v>2025</v>
      </c>
      <c r="C189" t="s">
        <v>31</v>
      </c>
      <c r="D189" t="s">
        <v>146</v>
      </c>
      <c r="E189" t="s">
        <v>70</v>
      </c>
      <c r="F189" s="13" cm="1">
        <f t="array" ref="F189">_xlfn.SWITCH(B189,
2024,INDEX('2024_budget'!$B$59:$M$69,MATCH(E189,'2024_budget'!$A$59:$A$69,0),MATCH(C189,'2024_budget'!$B$58:$M$58,0)),
2025,INDEX('2025_budget'!$B$59:$M$69,MATCH(E189,'2025_budget'!$A$59:$A$69,0),MATCH(C189,'2025_budget'!$B$58:$M$58,0)),
2026,INDEX('2026_budget'!$B$59:$M$69,MATCH(E189,'2026_budget'!$A$59:$A$69,0),MATCH(C189,'2026_budget'!$B$58:$M$58,0))
)</f>
        <v>3386913.3333333335</v>
      </c>
      <c r="G189" s="13" cm="1">
        <f t="array" ref="G189">_xlfn.SWITCH(B189,
2024,INDEX('2024_actual'!$B$59:$M$69,MATCH(E189,'2024_actual'!$A$59:$A$69,0),MATCH(C189,'2024_actual'!$B$58:$M$58,0)),
2025,INDEX('2025_actual'!$B$59:$M$69,MATCH(E189,'2025_actual'!$A$59:$A$69,0),MATCH(C189,'2025_actual'!$B$58:$M$58,0)),
2026,INDEX('2026_actual'!$B$59:$M$69,MATCH(E189,'2026_actual'!$A$59:$A$69,0),MATCH(C189,'2026_actual'!$B$58:$M$58,0))
)</f>
        <v>3463850</v>
      </c>
      <c r="H189" s="13">
        <f t="shared" si="43"/>
        <v>76936.666666666511</v>
      </c>
      <c r="I189" s="10">
        <f t="shared" si="32"/>
        <v>2.2715865183047645E-2</v>
      </c>
      <c r="J189" s="6" t="str">
        <f t="shared" si="44"/>
        <v>U</v>
      </c>
    </row>
    <row r="190" spans="1:10" x14ac:dyDescent="0.35">
      <c r="A190" s="26">
        <v>45901</v>
      </c>
      <c r="B190">
        <v>2025</v>
      </c>
      <c r="C190" t="s">
        <v>31</v>
      </c>
      <c r="D190" t="s">
        <v>146</v>
      </c>
      <c r="E190" t="s">
        <v>71</v>
      </c>
      <c r="F190" s="13" cm="1">
        <f t="array" ref="F190">_xlfn.SWITCH(B190,
2024,INDEX('2024_budget'!$B$59:$M$69,MATCH(E190,'2024_budget'!$A$59:$A$69,0),MATCH(C190,'2024_budget'!$B$58:$M$58,0)),
2025,INDEX('2025_budget'!$B$59:$M$69,MATCH(E190,'2025_budget'!$A$59:$A$69,0),MATCH(C190,'2025_budget'!$B$58:$M$58,0)),
2026,INDEX('2026_budget'!$B$59:$M$69,MATCH(E190,'2026_budget'!$A$59:$A$69,0),MATCH(C190,'2026_budget'!$B$58:$M$58,0))
)</f>
        <v>753086.66666666651</v>
      </c>
      <c r="G190" s="13" cm="1">
        <f t="array" ref="G190">_xlfn.SWITCH(B190,
2024,INDEX('2024_actual'!$B$59:$M$69,MATCH(E190,'2024_actual'!$A$59:$A$69,0),MATCH(C190,'2024_actual'!$B$58:$M$58,0)),
2025,INDEX('2025_actual'!$B$59:$M$69,MATCH(E190,'2025_actual'!$A$59:$A$69,0),MATCH(C190,'2025_actual'!$B$58:$M$58,0)),
2026,INDEX('2026_actual'!$B$59:$M$69,MATCH(E190,'2026_actual'!$A$59:$A$69,0),MATCH(C190,'2026_actual'!$B$58:$M$58,0))
)</f>
        <v>786150</v>
      </c>
      <c r="H190" s="13">
        <f t="shared" si="43"/>
        <v>33063.333333333489</v>
      </c>
      <c r="I190" s="10">
        <f t="shared" si="32"/>
        <v>4.3903756097129362E-2</v>
      </c>
      <c r="J190" s="6" t="str">
        <f>IF(G190&gt;=F190,"F","U")</f>
        <v>F</v>
      </c>
    </row>
    <row r="191" spans="1:10" x14ac:dyDescent="0.35">
      <c r="A191" s="26">
        <v>45931</v>
      </c>
      <c r="B191">
        <v>2025</v>
      </c>
      <c r="C191" t="s">
        <v>32</v>
      </c>
      <c r="D191" t="s">
        <v>146</v>
      </c>
      <c r="E191" t="s">
        <v>6</v>
      </c>
      <c r="F191" s="13" cm="1">
        <f t="array" ref="F191">_xlfn.SWITCH(B191,
2024,INDEX('2024_budget'!$B$59:$M$69,MATCH(E191,'2024_budget'!$A$59:$A$69,0),MATCH(C191,'2024_budget'!$B$58:$M$58,0)),
2025,INDEX('2025_budget'!$B$59:$M$69,MATCH(E191,'2025_budget'!$A$59:$A$69,0),MATCH(C191,'2025_budget'!$B$58:$M$58,0)),
2026,INDEX('2026_budget'!$B$59:$M$69,MATCH(E191,'2026_budget'!$A$59:$A$69,0),MATCH(C191,'2026_budget'!$B$58:$M$58,0))
)</f>
        <v>4140000</v>
      </c>
      <c r="G191" s="13" cm="1">
        <f t="array" ref="G191">_xlfn.SWITCH(B191,
2024,INDEX('2024_actual'!$B$59:$M$69,MATCH(E191,'2024_actual'!$A$59:$A$69,0),MATCH(C191,'2024_actual'!$B$58:$M$58,0)),
2025,INDEX('2025_actual'!$B$59:$M$69,MATCH(E191,'2025_actual'!$A$59:$A$69,0),MATCH(C191,'2025_actual'!$B$58:$M$58,0)),
2026,INDEX('2026_actual'!$B$59:$M$69,MATCH(E191,'2026_actual'!$A$59:$A$69,0),MATCH(C191,'2026_actual'!$B$58:$M$58,0))
)</f>
        <v>4305000</v>
      </c>
      <c r="H191" s="13">
        <f>G191-F191</f>
        <v>165000</v>
      </c>
      <c r="I191" s="10">
        <f t="shared" si="32"/>
        <v>3.9855072463768113E-2</v>
      </c>
      <c r="J191" s="6" t="str">
        <f>IF(G191&gt;=F191,"F","U")</f>
        <v>F</v>
      </c>
    </row>
    <row r="192" spans="1:10" x14ac:dyDescent="0.35">
      <c r="A192" s="26">
        <v>45931</v>
      </c>
      <c r="B192">
        <v>2025</v>
      </c>
      <c r="C192" t="s">
        <v>32</v>
      </c>
      <c r="D192" t="s">
        <v>11</v>
      </c>
      <c r="E192" t="s">
        <v>64</v>
      </c>
      <c r="F192" s="13" cm="1">
        <f t="array" ref="F192">_xlfn.SWITCH(B192,
2024,INDEX('2024_budget'!$B$59:$M$69,MATCH(E192,'2024_budget'!$A$59:$A$69,0),MATCH(C192,'2024_budget'!$B$58:$M$58,0)),
2025,INDEX('2025_budget'!$B$59:$M$69,MATCH(E192,'2025_budget'!$A$59:$A$69,0),MATCH(C192,'2025_budget'!$B$58:$M$58,0)),
2026,INDEX('2026_budget'!$B$59:$M$69,MATCH(E192,'2026_budget'!$A$59:$A$69,0),MATCH(C192,'2026_budget'!$B$58:$M$58,0))
)</f>
        <v>784883.33333333337</v>
      </c>
      <c r="G192" s="13" cm="1">
        <f t="array" ref="G192">_xlfn.SWITCH(B192,
2024,INDEX('2024_actual'!$B$59:$M$69,MATCH(E192,'2024_actual'!$A$59:$A$69,0),MATCH(C192,'2024_actual'!$B$58:$M$58,0)),
2025,INDEX('2025_actual'!$B$59:$M$69,MATCH(E192,'2025_actual'!$A$59:$A$69,0),MATCH(C192,'2025_actual'!$B$58:$M$58,0)),
2026,INDEX('2026_actual'!$B$59:$M$69,MATCH(E192,'2026_actual'!$A$59:$A$69,0),MATCH(C192,'2026_actual'!$B$58:$M$58,0))
)</f>
        <v>809750</v>
      </c>
      <c r="H192" s="13">
        <f t="shared" ref="H192:H199" si="45">G192-F192</f>
        <v>24866.666666666628</v>
      </c>
      <c r="I192" s="10">
        <f t="shared" si="32"/>
        <v>3.1681990954069553E-2</v>
      </c>
      <c r="J192" s="6" t="str">
        <f>IF(G192&lt;=F192,"F","U")</f>
        <v>U</v>
      </c>
    </row>
    <row r="193" spans="1:10" x14ac:dyDescent="0.35">
      <c r="A193" s="26">
        <v>45931</v>
      </c>
      <c r="B193">
        <v>2025</v>
      </c>
      <c r="C193" t="s">
        <v>32</v>
      </c>
      <c r="D193" t="s">
        <v>13</v>
      </c>
      <c r="E193" t="s">
        <v>65</v>
      </c>
      <c r="F193" s="13" cm="1">
        <f t="array" ref="F193">_xlfn.SWITCH(B193,
2024,INDEX('2024_budget'!$B$59:$M$69,MATCH(E193,'2024_budget'!$A$59:$A$69,0),MATCH(C193,'2024_budget'!$B$58:$M$58,0)),
2025,INDEX('2025_budget'!$B$59:$M$69,MATCH(E193,'2025_budget'!$A$59:$A$69,0),MATCH(C193,'2025_budget'!$B$58:$M$58,0)),
2026,INDEX('2026_budget'!$B$59:$M$69,MATCH(E193,'2026_budget'!$A$59:$A$69,0),MATCH(C193,'2026_budget'!$B$58:$M$58,0))
)</f>
        <v>473753.33333333331</v>
      </c>
      <c r="G193" s="13" cm="1">
        <f t="array" ref="G193">_xlfn.SWITCH(B193,
2024,INDEX('2024_actual'!$B$59:$M$69,MATCH(E193,'2024_actual'!$A$59:$A$69,0),MATCH(C193,'2024_actual'!$B$58:$M$58,0)),
2025,INDEX('2025_actual'!$B$59:$M$69,MATCH(E193,'2025_actual'!$A$59:$A$69,0),MATCH(C193,'2025_actual'!$B$58:$M$58,0)),
2026,INDEX('2026_actual'!$B$59:$M$69,MATCH(E193,'2026_actual'!$A$59:$A$69,0),MATCH(C193,'2026_actual'!$B$58:$M$58,0))
)</f>
        <v>503900</v>
      </c>
      <c r="H193" s="13">
        <f t="shared" si="45"/>
        <v>30146.666666666686</v>
      </c>
      <c r="I193" s="10">
        <f t="shared" si="32"/>
        <v>6.3633677159703403E-2</v>
      </c>
      <c r="J193" s="6" t="str">
        <f t="shared" ref="J193:J198" si="46">IF(G193&lt;=F193,"F","U")</f>
        <v>U</v>
      </c>
    </row>
    <row r="194" spans="1:10" x14ac:dyDescent="0.35">
      <c r="A194" s="26">
        <v>45931</v>
      </c>
      <c r="B194">
        <v>2025</v>
      </c>
      <c r="C194" t="s">
        <v>32</v>
      </c>
      <c r="D194" t="s">
        <v>10</v>
      </c>
      <c r="E194" t="s">
        <v>66</v>
      </c>
      <c r="F194" s="13" cm="1">
        <f t="array" ref="F194">_xlfn.SWITCH(B194,
2024,INDEX('2024_budget'!$B$59:$M$69,MATCH(E194,'2024_budget'!$A$59:$A$69,0),MATCH(C194,'2024_budget'!$B$58:$M$58,0)),
2025,INDEX('2025_budget'!$B$59:$M$69,MATCH(E194,'2025_budget'!$A$59:$A$69,0),MATCH(C194,'2025_budget'!$B$58:$M$58,0)),
2026,INDEX('2026_budget'!$B$59:$M$69,MATCH(E194,'2026_budget'!$A$59:$A$69,0),MATCH(C194,'2026_budget'!$B$58:$M$58,0))
)</f>
        <v>1241380</v>
      </c>
      <c r="G194" s="13" cm="1">
        <f t="array" ref="G194">_xlfn.SWITCH(B194,
2024,INDEX('2024_actual'!$B$59:$M$69,MATCH(E194,'2024_actual'!$A$59:$A$69,0),MATCH(C194,'2024_actual'!$B$58:$M$58,0)),
2025,INDEX('2025_actual'!$B$59:$M$69,MATCH(E194,'2025_actual'!$A$59:$A$69,0),MATCH(C194,'2025_actual'!$B$58:$M$58,0)),
2026,INDEX('2026_actual'!$B$59:$M$69,MATCH(E194,'2026_actual'!$A$59:$A$69,0),MATCH(C194,'2026_actual'!$B$58:$M$58,0))
)</f>
        <v>1267000</v>
      </c>
      <c r="H194" s="13">
        <f t="shared" si="45"/>
        <v>25620</v>
      </c>
      <c r="I194" s="10">
        <f t="shared" si="32"/>
        <v>2.0638321867598963E-2</v>
      </c>
      <c r="J194" s="6" t="str">
        <f t="shared" si="46"/>
        <v>U</v>
      </c>
    </row>
    <row r="195" spans="1:10" x14ac:dyDescent="0.35">
      <c r="A195" s="26">
        <v>45931</v>
      </c>
      <c r="B195">
        <v>2025</v>
      </c>
      <c r="C195" t="s">
        <v>32</v>
      </c>
      <c r="D195" t="s">
        <v>14</v>
      </c>
      <c r="E195" t="s">
        <v>67</v>
      </c>
      <c r="F195" s="13" cm="1">
        <f t="array" ref="F195">_xlfn.SWITCH(B195,
2024,INDEX('2024_budget'!$B$59:$M$69,MATCH(E195,'2024_budget'!$A$59:$A$69,0),MATCH(C195,'2024_budget'!$B$58:$M$58,0)),
2025,INDEX('2025_budget'!$B$59:$M$69,MATCH(E195,'2025_budget'!$A$59:$A$69,0),MATCH(C195,'2025_budget'!$B$58:$M$58,0)),
2026,INDEX('2026_budget'!$B$59:$M$69,MATCH(E195,'2026_budget'!$A$59:$A$69,0),MATCH(C195,'2026_budget'!$B$58:$M$58,0))
)</f>
        <v>248125</v>
      </c>
      <c r="G195" s="13" cm="1">
        <f t="array" ref="G195">_xlfn.SWITCH(B195,
2024,INDEX('2024_actual'!$B$59:$M$69,MATCH(E195,'2024_actual'!$A$59:$A$69,0),MATCH(C195,'2024_actual'!$B$58:$M$58,0)),
2025,INDEX('2025_actual'!$B$59:$M$69,MATCH(E195,'2025_actual'!$A$59:$A$69,0),MATCH(C195,'2025_actual'!$B$58:$M$58,0)),
2026,INDEX('2026_actual'!$B$59:$M$69,MATCH(E195,'2026_actual'!$A$59:$A$69,0),MATCH(C195,'2026_actual'!$B$58:$M$58,0))
)</f>
        <v>252050</v>
      </c>
      <c r="H195" s="13">
        <f t="shared" si="45"/>
        <v>3925</v>
      </c>
      <c r="I195" s="10">
        <f t="shared" ref="I195:I258" si="47">IF(AND(E195="Operating Profit",F195&lt;=0),NA(),IFERROR(H195/F195,0))</f>
        <v>1.5818639798488666E-2</v>
      </c>
      <c r="J195" s="6" t="str">
        <f t="shared" si="46"/>
        <v>U</v>
      </c>
    </row>
    <row r="196" spans="1:10" x14ac:dyDescent="0.35">
      <c r="A196" s="26">
        <v>45931</v>
      </c>
      <c r="B196">
        <v>2025</v>
      </c>
      <c r="C196" t="s">
        <v>32</v>
      </c>
      <c r="D196" t="s">
        <v>12</v>
      </c>
      <c r="E196" t="s">
        <v>68</v>
      </c>
      <c r="F196" s="13" cm="1">
        <f t="array" ref="F196">_xlfn.SWITCH(B196,
2024,INDEX('2024_budget'!$B$59:$M$69,MATCH(E196,'2024_budget'!$A$59:$A$69,0),MATCH(C196,'2024_budget'!$B$58:$M$58,0)),
2025,INDEX('2025_budget'!$B$59:$M$69,MATCH(E196,'2025_budget'!$A$59:$A$69,0),MATCH(C196,'2025_budget'!$B$58:$M$58,0)),
2026,INDEX('2026_budget'!$B$59:$M$69,MATCH(E196,'2026_budget'!$A$59:$A$69,0),MATCH(C196,'2026_budget'!$B$58:$M$58,0))
)</f>
        <v>302665</v>
      </c>
      <c r="G196" s="13" cm="1">
        <f t="array" ref="G196">_xlfn.SWITCH(B196,
2024,INDEX('2024_actual'!$B$59:$M$69,MATCH(E196,'2024_actual'!$A$59:$A$69,0),MATCH(C196,'2024_actual'!$B$58:$M$58,0)),
2025,INDEX('2025_actual'!$B$59:$M$69,MATCH(E196,'2025_actual'!$A$59:$A$69,0),MATCH(C196,'2025_actual'!$B$58:$M$58,0)),
2026,INDEX('2026_actual'!$B$59:$M$69,MATCH(E196,'2026_actual'!$A$59:$A$69,0),MATCH(C196,'2026_actual'!$B$58:$M$58,0))
)</f>
        <v>302950</v>
      </c>
      <c r="H196" s="13">
        <f t="shared" si="45"/>
        <v>285</v>
      </c>
      <c r="I196" s="10">
        <f t="shared" si="47"/>
        <v>9.4163514116267163E-4</v>
      </c>
      <c r="J196" s="6" t="str">
        <f t="shared" si="46"/>
        <v>U</v>
      </c>
    </row>
    <row r="197" spans="1:10" x14ac:dyDescent="0.35">
      <c r="A197" s="26">
        <v>45931</v>
      </c>
      <c r="B197">
        <v>2025</v>
      </c>
      <c r="C197" t="s">
        <v>32</v>
      </c>
      <c r="D197" t="s">
        <v>15</v>
      </c>
      <c r="E197" t="s">
        <v>69</v>
      </c>
      <c r="F197" s="13" cm="1">
        <f t="array" ref="F197">_xlfn.SWITCH(B197,
2024,INDEX('2024_budget'!$B$59:$M$69,MATCH(E197,'2024_budget'!$A$59:$A$69,0),MATCH(C197,'2024_budget'!$B$58:$M$58,0)),
2025,INDEX('2025_budget'!$B$59:$M$69,MATCH(E197,'2025_budget'!$A$59:$A$69,0),MATCH(C197,'2025_budget'!$B$58:$M$58,0)),
2026,INDEX('2026_budget'!$B$59:$M$69,MATCH(E197,'2026_budget'!$A$59:$A$69,0),MATCH(C197,'2026_budget'!$B$58:$M$58,0))
)</f>
        <v>336106.66666666669</v>
      </c>
      <c r="G197" s="13" cm="1">
        <f t="array" ref="G197">_xlfn.SWITCH(B197,
2024,INDEX('2024_actual'!$B$59:$M$69,MATCH(E197,'2024_actual'!$A$59:$A$69,0),MATCH(C197,'2024_actual'!$B$58:$M$58,0)),
2025,INDEX('2025_actual'!$B$59:$M$69,MATCH(E197,'2025_actual'!$A$59:$A$69,0),MATCH(C197,'2025_actual'!$B$58:$M$58,0)),
2026,INDEX('2026_actual'!$B$59:$M$69,MATCH(E197,'2026_actual'!$A$59:$A$69,0),MATCH(C197,'2026_actual'!$B$58:$M$58,0))
)</f>
        <v>340700</v>
      </c>
      <c r="H197" s="13">
        <f t="shared" si="45"/>
        <v>4593.3333333333139</v>
      </c>
      <c r="I197" s="10">
        <f t="shared" si="47"/>
        <v>1.3666296413836819E-2</v>
      </c>
      <c r="J197" s="6" t="str">
        <f t="shared" si="46"/>
        <v>U</v>
      </c>
    </row>
    <row r="198" spans="1:10" x14ac:dyDescent="0.35">
      <c r="A198" s="26">
        <v>45931</v>
      </c>
      <c r="B198">
        <v>2025</v>
      </c>
      <c r="C198" t="s">
        <v>32</v>
      </c>
      <c r="D198" t="s">
        <v>146</v>
      </c>
      <c r="E198" t="s">
        <v>70</v>
      </c>
      <c r="F198" s="13" cm="1">
        <f t="array" ref="F198">_xlfn.SWITCH(B198,
2024,INDEX('2024_budget'!$B$59:$M$69,MATCH(E198,'2024_budget'!$A$59:$A$69,0),MATCH(C198,'2024_budget'!$B$58:$M$58,0)),
2025,INDEX('2025_budget'!$B$59:$M$69,MATCH(E198,'2025_budget'!$A$59:$A$69,0),MATCH(C198,'2025_budget'!$B$58:$M$58,0)),
2026,INDEX('2026_budget'!$B$59:$M$69,MATCH(E198,'2026_budget'!$A$59:$A$69,0),MATCH(C198,'2026_budget'!$B$58:$M$58,0))
)</f>
        <v>3386913.3333333335</v>
      </c>
      <c r="G198" s="13" cm="1">
        <f t="array" ref="G198">_xlfn.SWITCH(B198,
2024,INDEX('2024_actual'!$B$59:$M$69,MATCH(E198,'2024_actual'!$A$59:$A$69,0),MATCH(C198,'2024_actual'!$B$58:$M$58,0)),
2025,INDEX('2025_actual'!$B$59:$M$69,MATCH(E198,'2025_actual'!$A$59:$A$69,0),MATCH(C198,'2025_actual'!$B$58:$M$58,0)),
2026,INDEX('2026_actual'!$B$59:$M$69,MATCH(E198,'2026_actual'!$A$59:$A$69,0),MATCH(C198,'2026_actual'!$B$58:$M$58,0))
)</f>
        <v>3476350</v>
      </c>
      <c r="H198" s="13">
        <f t="shared" si="45"/>
        <v>89436.666666666511</v>
      </c>
      <c r="I198" s="10">
        <f t="shared" si="47"/>
        <v>2.6406541255853365E-2</v>
      </c>
      <c r="J198" s="6" t="str">
        <f t="shared" si="46"/>
        <v>U</v>
      </c>
    </row>
    <row r="199" spans="1:10" x14ac:dyDescent="0.35">
      <c r="A199" s="26">
        <v>45931</v>
      </c>
      <c r="B199">
        <v>2025</v>
      </c>
      <c r="C199" t="s">
        <v>32</v>
      </c>
      <c r="D199" t="s">
        <v>146</v>
      </c>
      <c r="E199" t="s">
        <v>71</v>
      </c>
      <c r="F199" s="13" cm="1">
        <f t="array" ref="F199">_xlfn.SWITCH(B199,
2024,INDEX('2024_budget'!$B$59:$M$69,MATCH(E199,'2024_budget'!$A$59:$A$69,0),MATCH(C199,'2024_budget'!$B$58:$M$58,0)),
2025,INDEX('2025_budget'!$B$59:$M$69,MATCH(E199,'2025_budget'!$A$59:$A$69,0),MATCH(C199,'2025_budget'!$B$58:$M$58,0)),
2026,INDEX('2026_budget'!$B$59:$M$69,MATCH(E199,'2026_budget'!$A$59:$A$69,0),MATCH(C199,'2026_budget'!$B$58:$M$58,0))
)</f>
        <v>753086.66666666651</v>
      </c>
      <c r="G199" s="13" cm="1">
        <f t="array" ref="G199">_xlfn.SWITCH(B199,
2024,INDEX('2024_actual'!$B$59:$M$69,MATCH(E199,'2024_actual'!$A$59:$A$69,0),MATCH(C199,'2024_actual'!$B$58:$M$58,0)),
2025,INDEX('2025_actual'!$B$59:$M$69,MATCH(E199,'2025_actual'!$A$59:$A$69,0),MATCH(C199,'2025_actual'!$B$58:$M$58,0)),
2026,INDEX('2026_actual'!$B$59:$M$69,MATCH(E199,'2026_actual'!$A$59:$A$69,0),MATCH(C199,'2026_actual'!$B$58:$M$58,0))
)</f>
        <v>828650</v>
      </c>
      <c r="H199" s="13">
        <f t="shared" si="45"/>
        <v>75563.333333333489</v>
      </c>
      <c r="I199" s="10">
        <f t="shared" si="47"/>
        <v>0.10033816382355307</v>
      </c>
      <c r="J199" s="6" t="str">
        <f>IF(G199&gt;=F199,"F","U")</f>
        <v>F</v>
      </c>
    </row>
    <row r="200" spans="1:10" x14ac:dyDescent="0.35">
      <c r="A200" s="26">
        <v>45962</v>
      </c>
      <c r="B200">
        <v>2025</v>
      </c>
      <c r="C200" t="s">
        <v>33</v>
      </c>
      <c r="D200" t="s">
        <v>146</v>
      </c>
      <c r="E200" t="s">
        <v>6</v>
      </c>
      <c r="F200" s="13" cm="1">
        <f t="array" ref="F200">_xlfn.SWITCH(B200,
2024,INDEX('2024_budget'!$B$59:$M$69,MATCH(E200,'2024_budget'!$A$59:$A$69,0),MATCH(C200,'2024_budget'!$B$58:$M$58,0)),
2025,INDEX('2025_budget'!$B$59:$M$69,MATCH(E200,'2025_budget'!$A$59:$A$69,0),MATCH(C200,'2025_budget'!$B$58:$M$58,0)),
2026,INDEX('2026_budget'!$B$59:$M$69,MATCH(E200,'2026_budget'!$A$59:$A$69,0),MATCH(C200,'2026_budget'!$B$58:$M$58,0))
)</f>
        <v>4140000</v>
      </c>
      <c r="G200" s="13" cm="1">
        <f t="array" ref="G200">_xlfn.SWITCH(B200,
2024,INDEX('2024_actual'!$B$59:$M$69,MATCH(E200,'2024_actual'!$A$59:$A$69,0),MATCH(C200,'2024_actual'!$B$58:$M$58,0)),
2025,INDEX('2025_actual'!$B$59:$M$69,MATCH(E200,'2025_actual'!$A$59:$A$69,0),MATCH(C200,'2025_actual'!$B$58:$M$58,0)),
2026,INDEX('2026_actual'!$B$59:$M$69,MATCH(E200,'2026_actual'!$A$59:$A$69,0),MATCH(C200,'2026_actual'!$B$58:$M$58,0))
)</f>
        <v>4360000</v>
      </c>
      <c r="H200" s="13">
        <f>G200-F200</f>
        <v>220000</v>
      </c>
      <c r="I200" s="10">
        <f t="shared" si="47"/>
        <v>5.3140096618357488E-2</v>
      </c>
      <c r="J200" s="6" t="str">
        <f>IF(G200&gt;=F200,"F","U")</f>
        <v>F</v>
      </c>
    </row>
    <row r="201" spans="1:10" x14ac:dyDescent="0.35">
      <c r="A201" s="26">
        <v>45962</v>
      </c>
      <c r="B201">
        <v>2025</v>
      </c>
      <c r="C201" t="s">
        <v>33</v>
      </c>
      <c r="D201" t="s">
        <v>11</v>
      </c>
      <c r="E201" t="s">
        <v>64</v>
      </c>
      <c r="F201" s="13" cm="1">
        <f t="array" ref="F201">_xlfn.SWITCH(B201,
2024,INDEX('2024_budget'!$B$59:$M$69,MATCH(E201,'2024_budget'!$A$59:$A$69,0),MATCH(C201,'2024_budget'!$B$58:$M$58,0)),
2025,INDEX('2025_budget'!$B$59:$M$69,MATCH(E201,'2025_budget'!$A$59:$A$69,0),MATCH(C201,'2025_budget'!$B$58:$M$58,0)),
2026,INDEX('2026_budget'!$B$59:$M$69,MATCH(E201,'2026_budget'!$A$59:$A$69,0),MATCH(C201,'2026_budget'!$B$58:$M$58,0))
)</f>
        <v>784883.33333333337</v>
      </c>
      <c r="G201" s="13" cm="1">
        <f t="array" ref="G201">_xlfn.SWITCH(B201,
2024,INDEX('2024_actual'!$B$59:$M$69,MATCH(E201,'2024_actual'!$A$59:$A$69,0),MATCH(C201,'2024_actual'!$B$58:$M$58,0)),
2025,INDEX('2025_actual'!$B$59:$M$69,MATCH(E201,'2025_actual'!$A$59:$A$69,0),MATCH(C201,'2025_actual'!$B$58:$M$58,0)),
2026,INDEX('2026_actual'!$B$59:$M$69,MATCH(E201,'2026_actual'!$A$59:$A$69,0),MATCH(C201,'2026_actual'!$B$58:$M$58,0))
)</f>
        <v>819250</v>
      </c>
      <c r="H201" s="13">
        <f t="shared" ref="H201:H208" si="48">G201-F201</f>
        <v>34366.666666666628</v>
      </c>
      <c r="I201" s="10">
        <f t="shared" si="47"/>
        <v>4.3785700634913841E-2</v>
      </c>
      <c r="J201" s="6" t="str">
        <f>IF(G201&lt;=F201,"F","U")</f>
        <v>U</v>
      </c>
    </row>
    <row r="202" spans="1:10" x14ac:dyDescent="0.35">
      <c r="A202" s="26">
        <v>45962</v>
      </c>
      <c r="B202">
        <v>2025</v>
      </c>
      <c r="C202" t="s">
        <v>33</v>
      </c>
      <c r="D202" t="s">
        <v>13</v>
      </c>
      <c r="E202" t="s">
        <v>65</v>
      </c>
      <c r="F202" s="13" cm="1">
        <f t="array" ref="F202">_xlfn.SWITCH(B202,
2024,INDEX('2024_budget'!$B$59:$M$69,MATCH(E202,'2024_budget'!$A$59:$A$69,0),MATCH(C202,'2024_budget'!$B$58:$M$58,0)),
2025,INDEX('2025_budget'!$B$59:$M$69,MATCH(E202,'2025_budget'!$A$59:$A$69,0),MATCH(C202,'2025_budget'!$B$58:$M$58,0)),
2026,INDEX('2026_budget'!$B$59:$M$69,MATCH(E202,'2026_budget'!$A$59:$A$69,0),MATCH(C202,'2026_budget'!$B$58:$M$58,0))
)</f>
        <v>473753.33333333331</v>
      </c>
      <c r="G202" s="13" cm="1">
        <f t="array" ref="G202">_xlfn.SWITCH(B202,
2024,INDEX('2024_actual'!$B$59:$M$69,MATCH(E202,'2024_actual'!$A$59:$A$69,0),MATCH(C202,'2024_actual'!$B$58:$M$58,0)),
2025,INDEX('2025_actual'!$B$59:$M$69,MATCH(E202,'2025_actual'!$A$59:$A$69,0),MATCH(C202,'2025_actual'!$B$58:$M$58,0)),
2026,INDEX('2026_actual'!$B$59:$M$69,MATCH(E202,'2026_actual'!$A$59:$A$69,0),MATCH(C202,'2026_actual'!$B$58:$M$58,0))
)</f>
        <v>510600</v>
      </c>
      <c r="H202" s="13">
        <f t="shared" si="48"/>
        <v>36846.666666666686</v>
      </c>
      <c r="I202" s="10">
        <f t="shared" si="47"/>
        <v>7.7776057864148762E-2</v>
      </c>
      <c r="J202" s="6" t="str">
        <f t="shared" ref="J202:J207" si="49">IF(G202&lt;=F202,"F","U")</f>
        <v>U</v>
      </c>
    </row>
    <row r="203" spans="1:10" x14ac:dyDescent="0.35">
      <c r="A203" s="26">
        <v>45962</v>
      </c>
      <c r="B203">
        <v>2025</v>
      </c>
      <c r="C203" t="s">
        <v>33</v>
      </c>
      <c r="D203" t="s">
        <v>10</v>
      </c>
      <c r="E203" t="s">
        <v>66</v>
      </c>
      <c r="F203" s="13" cm="1">
        <f t="array" ref="F203">_xlfn.SWITCH(B203,
2024,INDEX('2024_budget'!$B$59:$M$69,MATCH(E203,'2024_budget'!$A$59:$A$69,0),MATCH(C203,'2024_budget'!$B$58:$M$58,0)),
2025,INDEX('2025_budget'!$B$59:$M$69,MATCH(E203,'2025_budget'!$A$59:$A$69,0),MATCH(C203,'2025_budget'!$B$58:$M$58,0)),
2026,INDEX('2026_budget'!$B$59:$M$69,MATCH(E203,'2026_budget'!$A$59:$A$69,0),MATCH(C203,'2026_budget'!$B$58:$M$58,0))
)</f>
        <v>1241380</v>
      </c>
      <c r="G203" s="13" cm="1">
        <f t="array" ref="G203">_xlfn.SWITCH(B203,
2024,INDEX('2024_actual'!$B$59:$M$69,MATCH(E203,'2024_actual'!$A$59:$A$69,0),MATCH(C203,'2024_actual'!$B$58:$M$58,0)),
2025,INDEX('2025_actual'!$B$59:$M$69,MATCH(E203,'2025_actual'!$A$59:$A$69,0),MATCH(C203,'2025_actual'!$B$58:$M$58,0)),
2026,INDEX('2026_actual'!$B$59:$M$69,MATCH(E203,'2026_actual'!$A$59:$A$69,0),MATCH(C203,'2026_actual'!$B$58:$M$58,0))
)</f>
        <v>1278000</v>
      </c>
      <c r="H203" s="13">
        <f t="shared" si="48"/>
        <v>36620</v>
      </c>
      <c r="I203" s="10">
        <f t="shared" si="47"/>
        <v>2.9499428055873304E-2</v>
      </c>
      <c r="J203" s="6" t="str">
        <f t="shared" si="49"/>
        <v>U</v>
      </c>
    </row>
    <row r="204" spans="1:10" x14ac:dyDescent="0.35">
      <c r="A204" s="26">
        <v>45962</v>
      </c>
      <c r="B204">
        <v>2025</v>
      </c>
      <c r="C204" t="s">
        <v>33</v>
      </c>
      <c r="D204" t="s">
        <v>14</v>
      </c>
      <c r="E204" t="s">
        <v>67</v>
      </c>
      <c r="F204" s="13" cm="1">
        <f t="array" ref="F204">_xlfn.SWITCH(B204,
2024,INDEX('2024_budget'!$B$59:$M$69,MATCH(E204,'2024_budget'!$A$59:$A$69,0),MATCH(C204,'2024_budget'!$B$58:$M$58,0)),
2025,INDEX('2025_budget'!$B$59:$M$69,MATCH(E204,'2025_budget'!$A$59:$A$69,0),MATCH(C204,'2025_budget'!$B$58:$M$58,0)),
2026,INDEX('2026_budget'!$B$59:$M$69,MATCH(E204,'2026_budget'!$A$59:$A$69,0),MATCH(C204,'2026_budget'!$B$58:$M$58,0))
)</f>
        <v>248125</v>
      </c>
      <c r="G204" s="13" cm="1">
        <f t="array" ref="G204">_xlfn.SWITCH(B204,
2024,INDEX('2024_actual'!$B$59:$M$69,MATCH(E204,'2024_actual'!$A$59:$A$69,0),MATCH(C204,'2024_actual'!$B$58:$M$58,0)),
2025,INDEX('2025_actual'!$B$59:$M$69,MATCH(E204,'2025_actual'!$A$59:$A$69,0),MATCH(C204,'2025_actual'!$B$58:$M$58,0)),
2026,INDEX('2026_actual'!$B$59:$M$69,MATCH(E204,'2026_actual'!$A$59:$A$69,0),MATCH(C204,'2026_actual'!$B$58:$M$58,0))
)</f>
        <v>254250</v>
      </c>
      <c r="H204" s="13">
        <f t="shared" si="48"/>
        <v>6125</v>
      </c>
      <c r="I204" s="10">
        <f t="shared" si="47"/>
        <v>2.468513853904282E-2</v>
      </c>
      <c r="J204" s="6" t="str">
        <f t="shared" si="49"/>
        <v>U</v>
      </c>
    </row>
    <row r="205" spans="1:10" x14ac:dyDescent="0.35">
      <c r="A205" s="26">
        <v>45962</v>
      </c>
      <c r="B205">
        <v>2025</v>
      </c>
      <c r="C205" t="s">
        <v>33</v>
      </c>
      <c r="D205" t="s">
        <v>12</v>
      </c>
      <c r="E205" t="s">
        <v>68</v>
      </c>
      <c r="F205" s="13" cm="1">
        <f t="array" ref="F205">_xlfn.SWITCH(B205,
2024,INDEX('2024_budget'!$B$59:$M$69,MATCH(E205,'2024_budget'!$A$59:$A$69,0),MATCH(C205,'2024_budget'!$B$58:$M$58,0)),
2025,INDEX('2025_budget'!$B$59:$M$69,MATCH(E205,'2025_budget'!$A$59:$A$69,0),MATCH(C205,'2025_budget'!$B$58:$M$58,0)),
2026,INDEX('2026_budget'!$B$59:$M$69,MATCH(E205,'2026_budget'!$A$59:$A$69,0),MATCH(C205,'2026_budget'!$B$58:$M$58,0))
)</f>
        <v>302665</v>
      </c>
      <c r="G205" s="13" cm="1">
        <f t="array" ref="G205">_xlfn.SWITCH(B205,
2024,INDEX('2024_actual'!$B$59:$M$69,MATCH(E205,'2024_actual'!$A$59:$A$69,0),MATCH(C205,'2024_actual'!$B$58:$M$58,0)),
2025,INDEX('2025_actual'!$B$59:$M$69,MATCH(E205,'2025_actual'!$A$59:$A$69,0),MATCH(C205,'2025_actual'!$B$58:$M$58,0)),
2026,INDEX('2026_actual'!$B$59:$M$69,MATCH(E205,'2026_actual'!$A$59:$A$69,0),MATCH(C205,'2026_actual'!$B$58:$M$58,0))
)</f>
        <v>304150</v>
      </c>
      <c r="H205" s="13">
        <f t="shared" si="48"/>
        <v>1485</v>
      </c>
      <c r="I205" s="10">
        <f t="shared" si="47"/>
        <v>4.9064146829002359E-3</v>
      </c>
      <c r="J205" s="6" t="str">
        <f t="shared" si="49"/>
        <v>U</v>
      </c>
    </row>
    <row r="206" spans="1:10" x14ac:dyDescent="0.35">
      <c r="A206" s="26">
        <v>45962</v>
      </c>
      <c r="B206">
        <v>2025</v>
      </c>
      <c r="C206" t="s">
        <v>33</v>
      </c>
      <c r="D206" t="s">
        <v>15</v>
      </c>
      <c r="E206" t="s">
        <v>69</v>
      </c>
      <c r="F206" s="13" cm="1">
        <f t="array" ref="F206">_xlfn.SWITCH(B206,
2024,INDEX('2024_budget'!$B$59:$M$69,MATCH(E206,'2024_budget'!$A$59:$A$69,0),MATCH(C206,'2024_budget'!$B$58:$M$58,0)),
2025,INDEX('2025_budget'!$B$59:$M$69,MATCH(E206,'2025_budget'!$A$59:$A$69,0),MATCH(C206,'2025_budget'!$B$58:$M$58,0)),
2026,INDEX('2026_budget'!$B$59:$M$69,MATCH(E206,'2026_budget'!$A$59:$A$69,0),MATCH(C206,'2026_budget'!$B$58:$M$58,0))
)</f>
        <v>336106.66666666669</v>
      </c>
      <c r="G206" s="13" cm="1">
        <f t="array" ref="G206">_xlfn.SWITCH(B206,
2024,INDEX('2024_actual'!$B$59:$M$69,MATCH(E206,'2024_actual'!$A$59:$A$69,0),MATCH(C206,'2024_actual'!$B$58:$M$58,0)),
2025,INDEX('2025_actual'!$B$59:$M$69,MATCH(E206,'2025_actual'!$A$59:$A$69,0),MATCH(C206,'2025_actual'!$B$58:$M$58,0)),
2026,INDEX('2026_actual'!$B$59:$M$69,MATCH(E206,'2026_actual'!$A$59:$A$69,0),MATCH(C206,'2026_actual'!$B$58:$M$58,0))
)</f>
        <v>342900</v>
      </c>
      <c r="H206" s="13">
        <f t="shared" si="48"/>
        <v>6793.3333333333139</v>
      </c>
      <c r="I206" s="10">
        <f t="shared" si="47"/>
        <v>2.0211837511900924E-2</v>
      </c>
      <c r="J206" s="6" t="str">
        <f t="shared" si="49"/>
        <v>U</v>
      </c>
    </row>
    <row r="207" spans="1:10" x14ac:dyDescent="0.35">
      <c r="A207" s="26">
        <v>45962</v>
      </c>
      <c r="B207">
        <v>2025</v>
      </c>
      <c r="C207" t="s">
        <v>33</v>
      </c>
      <c r="D207" t="s">
        <v>146</v>
      </c>
      <c r="E207" t="s">
        <v>70</v>
      </c>
      <c r="F207" s="13" cm="1">
        <f t="array" ref="F207">_xlfn.SWITCH(B207,
2024,INDEX('2024_budget'!$B$59:$M$69,MATCH(E207,'2024_budget'!$A$59:$A$69,0),MATCH(C207,'2024_budget'!$B$58:$M$58,0)),
2025,INDEX('2025_budget'!$B$59:$M$69,MATCH(E207,'2025_budget'!$A$59:$A$69,0),MATCH(C207,'2025_budget'!$B$58:$M$58,0)),
2026,INDEX('2026_budget'!$B$59:$M$69,MATCH(E207,'2026_budget'!$A$59:$A$69,0),MATCH(C207,'2026_budget'!$B$58:$M$58,0))
)</f>
        <v>3386913.3333333335</v>
      </c>
      <c r="G207" s="13" cm="1">
        <f t="array" ref="G207">_xlfn.SWITCH(B207,
2024,INDEX('2024_actual'!$B$59:$M$69,MATCH(E207,'2024_actual'!$A$59:$A$69,0),MATCH(C207,'2024_actual'!$B$58:$M$58,0)),
2025,INDEX('2025_actual'!$B$59:$M$69,MATCH(E207,'2025_actual'!$A$59:$A$69,0),MATCH(C207,'2025_actual'!$B$58:$M$58,0)),
2026,INDEX('2026_actual'!$B$59:$M$69,MATCH(E207,'2026_actual'!$A$59:$A$69,0),MATCH(C207,'2026_actual'!$B$58:$M$58,0))
)</f>
        <v>3509150</v>
      </c>
      <c r="H207" s="13">
        <f t="shared" si="48"/>
        <v>122236.66666666651</v>
      </c>
      <c r="I207" s="10">
        <f t="shared" si="47"/>
        <v>3.6090875270895578E-2</v>
      </c>
      <c r="J207" s="6" t="str">
        <f t="shared" si="49"/>
        <v>U</v>
      </c>
    </row>
    <row r="208" spans="1:10" x14ac:dyDescent="0.35">
      <c r="A208" s="26">
        <v>45962</v>
      </c>
      <c r="B208">
        <v>2025</v>
      </c>
      <c r="C208" t="s">
        <v>33</v>
      </c>
      <c r="D208" t="s">
        <v>146</v>
      </c>
      <c r="E208" t="s">
        <v>71</v>
      </c>
      <c r="F208" s="13" cm="1">
        <f t="array" ref="F208">_xlfn.SWITCH(B208,
2024,INDEX('2024_budget'!$B$59:$M$69,MATCH(E208,'2024_budget'!$A$59:$A$69,0),MATCH(C208,'2024_budget'!$B$58:$M$58,0)),
2025,INDEX('2025_budget'!$B$59:$M$69,MATCH(E208,'2025_budget'!$A$59:$A$69,0),MATCH(C208,'2025_budget'!$B$58:$M$58,0)),
2026,INDEX('2026_budget'!$B$59:$M$69,MATCH(E208,'2026_budget'!$A$59:$A$69,0),MATCH(C208,'2026_budget'!$B$58:$M$58,0))
)</f>
        <v>753086.66666666651</v>
      </c>
      <c r="G208" s="13" cm="1">
        <f t="array" ref="G208">_xlfn.SWITCH(B208,
2024,INDEX('2024_actual'!$B$59:$M$69,MATCH(E208,'2024_actual'!$A$59:$A$69,0),MATCH(C208,'2024_actual'!$B$58:$M$58,0)),
2025,INDEX('2025_actual'!$B$59:$M$69,MATCH(E208,'2025_actual'!$A$59:$A$69,0),MATCH(C208,'2025_actual'!$B$58:$M$58,0)),
2026,INDEX('2026_actual'!$B$59:$M$69,MATCH(E208,'2026_actual'!$A$59:$A$69,0),MATCH(C208,'2026_actual'!$B$58:$M$58,0))
)</f>
        <v>850850</v>
      </c>
      <c r="H208" s="13">
        <f t="shared" si="48"/>
        <v>97763.333333333489</v>
      </c>
      <c r="I208" s="10">
        <f t="shared" si="47"/>
        <v>0.12981684268300264</v>
      </c>
      <c r="J208" s="6" t="str">
        <f>IF(G208&gt;=F208,"F","U")</f>
        <v>F</v>
      </c>
    </row>
    <row r="209" spans="1:10" x14ac:dyDescent="0.35">
      <c r="A209" s="26">
        <v>45992</v>
      </c>
      <c r="B209">
        <v>2025</v>
      </c>
      <c r="C209" t="s">
        <v>34</v>
      </c>
      <c r="D209" t="s">
        <v>146</v>
      </c>
      <c r="E209" t="s">
        <v>6</v>
      </c>
      <c r="F209" s="13" cm="1">
        <f t="array" ref="F209">_xlfn.SWITCH(B209,
2024,INDEX('2024_budget'!$B$59:$M$69,MATCH(E209,'2024_budget'!$A$59:$A$69,0),MATCH(C209,'2024_budget'!$B$58:$M$58,0)),
2025,INDEX('2025_budget'!$B$59:$M$69,MATCH(E209,'2025_budget'!$A$59:$A$69,0),MATCH(C209,'2025_budget'!$B$58:$M$58,0)),
2026,INDEX('2026_budget'!$B$59:$M$69,MATCH(E209,'2026_budget'!$A$59:$A$69,0),MATCH(C209,'2026_budget'!$B$58:$M$58,0))
)</f>
        <v>5060000</v>
      </c>
      <c r="G209" s="13" cm="1">
        <f t="array" ref="G209">_xlfn.SWITCH(B209,
2024,INDEX('2024_actual'!$B$59:$M$69,MATCH(E209,'2024_actual'!$A$59:$A$69,0),MATCH(C209,'2024_actual'!$B$58:$M$58,0)),
2025,INDEX('2025_actual'!$B$59:$M$69,MATCH(E209,'2025_actual'!$A$59:$A$69,0),MATCH(C209,'2025_actual'!$B$58:$M$58,0)),
2026,INDEX('2026_actual'!$B$59:$M$69,MATCH(E209,'2026_actual'!$A$59:$A$69,0),MATCH(C209,'2026_actual'!$B$58:$M$58,0))
)</f>
        <v>5060000</v>
      </c>
      <c r="H209" s="13">
        <f>G209-F209</f>
        <v>0</v>
      </c>
      <c r="I209" s="10">
        <f t="shared" si="47"/>
        <v>0</v>
      </c>
      <c r="J209" s="6" t="str">
        <f>IF(G209&gt;=F209,"F","U")</f>
        <v>F</v>
      </c>
    </row>
    <row r="210" spans="1:10" x14ac:dyDescent="0.35">
      <c r="A210" s="26">
        <v>45992</v>
      </c>
      <c r="B210">
        <v>2025</v>
      </c>
      <c r="C210" t="s">
        <v>34</v>
      </c>
      <c r="D210" t="s">
        <v>11</v>
      </c>
      <c r="E210" t="s">
        <v>64</v>
      </c>
      <c r="F210" s="13" cm="1">
        <f t="array" ref="F210">_xlfn.SWITCH(B210,
2024,INDEX('2024_budget'!$B$59:$M$69,MATCH(E210,'2024_budget'!$A$59:$A$69,0),MATCH(C210,'2024_budget'!$B$58:$M$58,0)),
2025,INDEX('2025_budget'!$B$59:$M$69,MATCH(E210,'2025_budget'!$A$59:$A$69,0),MATCH(C210,'2025_budget'!$B$58:$M$58,0)),
2026,INDEX('2026_budget'!$B$59:$M$69,MATCH(E210,'2026_budget'!$A$59:$A$69,0),MATCH(C210,'2026_budget'!$B$58:$M$58,0))
)</f>
        <v>826283.33333333337</v>
      </c>
      <c r="G210" s="13" cm="1">
        <f t="array" ref="G210">_xlfn.SWITCH(B210,
2024,INDEX('2024_actual'!$B$59:$M$69,MATCH(E210,'2024_actual'!$A$59:$A$69,0),MATCH(C210,'2024_actual'!$B$58:$M$58,0)),
2025,INDEX('2025_actual'!$B$59:$M$69,MATCH(E210,'2025_actual'!$A$59:$A$69,0),MATCH(C210,'2025_actual'!$B$58:$M$58,0)),
2026,INDEX('2026_actual'!$B$59:$M$69,MATCH(E210,'2026_actual'!$A$59:$A$69,0),MATCH(C210,'2026_actual'!$B$58:$M$58,0))
)</f>
        <v>854250</v>
      </c>
      <c r="H210" s="13">
        <f t="shared" ref="H210:H217" si="50">G210-F210</f>
        <v>27966.666666666628</v>
      </c>
      <c r="I210" s="10">
        <f t="shared" si="47"/>
        <v>3.3846340036710526E-2</v>
      </c>
      <c r="J210" s="6" t="str">
        <f>IF(G210&lt;=F210,"F","U")</f>
        <v>U</v>
      </c>
    </row>
    <row r="211" spans="1:10" x14ac:dyDescent="0.35">
      <c r="A211" s="26">
        <v>45992</v>
      </c>
      <c r="B211">
        <v>2025</v>
      </c>
      <c r="C211" t="s">
        <v>34</v>
      </c>
      <c r="D211" t="s">
        <v>13</v>
      </c>
      <c r="E211" t="s">
        <v>65</v>
      </c>
      <c r="F211" s="13" cm="1">
        <f t="array" ref="F211">_xlfn.SWITCH(B211,
2024,INDEX('2024_budget'!$B$59:$M$69,MATCH(E211,'2024_budget'!$A$59:$A$69,0),MATCH(C211,'2024_budget'!$B$58:$M$58,0)),
2025,INDEX('2025_budget'!$B$59:$M$69,MATCH(E211,'2025_budget'!$A$59:$A$69,0),MATCH(C211,'2025_budget'!$B$58:$M$58,0)),
2026,INDEX('2026_budget'!$B$59:$M$69,MATCH(E211,'2026_budget'!$A$59:$A$69,0),MATCH(C211,'2026_budget'!$B$58:$M$58,0))
)</f>
        <v>528953.33333333337</v>
      </c>
      <c r="G211" s="13" cm="1">
        <f t="array" ref="G211">_xlfn.SWITCH(B211,
2024,INDEX('2024_actual'!$B$59:$M$69,MATCH(E211,'2024_actual'!$A$59:$A$69,0),MATCH(C211,'2024_actual'!$B$58:$M$58,0)),
2025,INDEX('2025_actual'!$B$59:$M$69,MATCH(E211,'2025_actual'!$A$59:$A$69,0),MATCH(C211,'2025_actual'!$B$58:$M$58,0)),
2026,INDEX('2026_actual'!$B$59:$M$69,MATCH(E211,'2026_actual'!$A$59:$A$69,0),MATCH(C211,'2026_actual'!$B$58:$M$58,0))
)</f>
        <v>555600</v>
      </c>
      <c r="H211" s="13">
        <f t="shared" si="50"/>
        <v>26646.666666666628</v>
      </c>
      <c r="I211" s="10">
        <f t="shared" si="47"/>
        <v>5.0376214662919146E-2</v>
      </c>
      <c r="J211" s="6" t="str">
        <f t="shared" ref="J211:J216" si="51">IF(G211&lt;=F211,"F","U")</f>
        <v>U</v>
      </c>
    </row>
    <row r="212" spans="1:10" x14ac:dyDescent="0.35">
      <c r="A212" s="26">
        <v>45992</v>
      </c>
      <c r="B212">
        <v>2025</v>
      </c>
      <c r="C212" t="s">
        <v>34</v>
      </c>
      <c r="D212" t="s">
        <v>10</v>
      </c>
      <c r="E212" t="s">
        <v>66</v>
      </c>
      <c r="F212" s="13" cm="1">
        <f t="array" ref="F212">_xlfn.SWITCH(B212,
2024,INDEX('2024_budget'!$B$59:$M$69,MATCH(E212,'2024_budget'!$A$59:$A$69,0),MATCH(C212,'2024_budget'!$B$58:$M$58,0)),
2025,INDEX('2025_budget'!$B$59:$M$69,MATCH(E212,'2025_budget'!$A$59:$A$69,0),MATCH(C212,'2025_budget'!$B$58:$M$58,0)),
2026,INDEX('2026_budget'!$B$59:$M$69,MATCH(E212,'2026_budget'!$A$59:$A$69,0),MATCH(C212,'2026_budget'!$B$58:$M$58,0))
)</f>
        <v>1278180</v>
      </c>
      <c r="G212" s="13" cm="1">
        <f t="array" ref="G212">_xlfn.SWITCH(B212,
2024,INDEX('2024_actual'!$B$59:$M$69,MATCH(E212,'2024_actual'!$A$59:$A$69,0),MATCH(C212,'2024_actual'!$B$58:$M$58,0)),
2025,INDEX('2025_actual'!$B$59:$M$69,MATCH(E212,'2025_actual'!$A$59:$A$69,0),MATCH(C212,'2025_actual'!$B$58:$M$58,0)),
2026,INDEX('2026_actual'!$B$59:$M$69,MATCH(E212,'2026_actual'!$A$59:$A$69,0),MATCH(C212,'2026_actual'!$B$58:$M$58,0))
)</f>
        <v>1290000</v>
      </c>
      <c r="H212" s="13">
        <f t="shared" si="50"/>
        <v>11820</v>
      </c>
      <c r="I212" s="10">
        <f t="shared" si="47"/>
        <v>9.2475238229357375E-3</v>
      </c>
      <c r="J212" s="6" t="str">
        <f t="shared" si="51"/>
        <v>U</v>
      </c>
    </row>
    <row r="213" spans="1:10" x14ac:dyDescent="0.35">
      <c r="A213" s="26">
        <v>45992</v>
      </c>
      <c r="B213">
        <v>2025</v>
      </c>
      <c r="C213" t="s">
        <v>34</v>
      </c>
      <c r="D213" t="s">
        <v>14</v>
      </c>
      <c r="E213" t="s">
        <v>67</v>
      </c>
      <c r="F213" s="13" cm="1">
        <f t="array" ref="F213">_xlfn.SWITCH(B213,
2024,INDEX('2024_budget'!$B$59:$M$69,MATCH(E213,'2024_budget'!$A$59:$A$69,0),MATCH(C213,'2024_budget'!$B$58:$M$58,0)),
2025,INDEX('2025_budget'!$B$59:$M$69,MATCH(E213,'2025_budget'!$A$59:$A$69,0),MATCH(C213,'2025_budget'!$B$58:$M$58,0)),
2026,INDEX('2026_budget'!$B$59:$M$69,MATCH(E213,'2026_budget'!$A$59:$A$69,0),MATCH(C213,'2026_budget'!$B$58:$M$58,0))
)</f>
        <v>248125</v>
      </c>
      <c r="G213" s="13" cm="1">
        <f t="array" ref="G213">_xlfn.SWITCH(B213,
2024,INDEX('2024_actual'!$B$59:$M$69,MATCH(E213,'2024_actual'!$A$59:$A$69,0),MATCH(C213,'2024_actual'!$B$58:$M$58,0)),
2025,INDEX('2025_actual'!$B$59:$M$69,MATCH(E213,'2025_actual'!$A$59:$A$69,0),MATCH(C213,'2025_actual'!$B$58:$M$58,0)),
2026,INDEX('2026_actual'!$B$59:$M$69,MATCH(E213,'2026_actual'!$A$59:$A$69,0),MATCH(C213,'2026_actual'!$B$58:$M$58,0))
)</f>
        <v>258250</v>
      </c>
      <c r="H213" s="13">
        <f t="shared" si="50"/>
        <v>10125</v>
      </c>
      <c r="I213" s="10">
        <f t="shared" si="47"/>
        <v>4.0806045340050376E-2</v>
      </c>
      <c r="J213" s="6" t="str">
        <f t="shared" si="51"/>
        <v>U</v>
      </c>
    </row>
    <row r="214" spans="1:10" x14ac:dyDescent="0.35">
      <c r="A214" s="26">
        <v>45992</v>
      </c>
      <c r="B214">
        <v>2025</v>
      </c>
      <c r="C214" t="s">
        <v>34</v>
      </c>
      <c r="D214" t="s">
        <v>12</v>
      </c>
      <c r="E214" t="s">
        <v>68</v>
      </c>
      <c r="F214" s="13" cm="1">
        <f t="array" ref="F214">_xlfn.SWITCH(B214,
2024,INDEX('2024_budget'!$B$59:$M$69,MATCH(E214,'2024_budget'!$A$59:$A$69,0),MATCH(C214,'2024_budget'!$B$58:$M$58,0)),
2025,INDEX('2025_budget'!$B$59:$M$69,MATCH(E214,'2025_budget'!$A$59:$A$69,0),MATCH(C214,'2025_budget'!$B$58:$M$58,0)),
2026,INDEX('2026_budget'!$B$59:$M$69,MATCH(E214,'2026_budget'!$A$59:$A$69,0),MATCH(C214,'2026_budget'!$B$58:$M$58,0))
)</f>
        <v>302665</v>
      </c>
      <c r="G214" s="13" cm="1">
        <f t="array" ref="G214">_xlfn.SWITCH(B214,
2024,INDEX('2024_actual'!$B$59:$M$69,MATCH(E214,'2024_actual'!$A$59:$A$69,0),MATCH(C214,'2024_actual'!$B$58:$M$58,0)),
2025,INDEX('2025_actual'!$B$59:$M$69,MATCH(E214,'2025_actual'!$A$59:$A$69,0),MATCH(C214,'2025_actual'!$B$58:$M$58,0)),
2026,INDEX('2026_actual'!$B$59:$M$69,MATCH(E214,'2026_actual'!$A$59:$A$69,0),MATCH(C214,'2026_actual'!$B$58:$M$58,0))
)</f>
        <v>304650</v>
      </c>
      <c r="H214" s="13">
        <f t="shared" si="50"/>
        <v>1985</v>
      </c>
      <c r="I214" s="10">
        <f t="shared" si="47"/>
        <v>6.5584061586242215E-3</v>
      </c>
      <c r="J214" s="6" t="str">
        <f t="shared" si="51"/>
        <v>U</v>
      </c>
    </row>
    <row r="215" spans="1:10" x14ac:dyDescent="0.35">
      <c r="A215" s="26">
        <v>45992</v>
      </c>
      <c r="B215">
        <v>2025</v>
      </c>
      <c r="C215" t="s">
        <v>34</v>
      </c>
      <c r="D215" t="s">
        <v>15</v>
      </c>
      <c r="E215" t="s">
        <v>69</v>
      </c>
      <c r="F215" s="13" cm="1">
        <f t="array" ref="F215">_xlfn.SWITCH(B215,
2024,INDEX('2024_budget'!$B$59:$M$69,MATCH(E215,'2024_budget'!$A$59:$A$69,0),MATCH(C215,'2024_budget'!$B$58:$M$58,0)),
2025,INDEX('2025_budget'!$B$59:$M$69,MATCH(E215,'2025_budget'!$A$59:$A$69,0),MATCH(C215,'2025_budget'!$B$58:$M$58,0)),
2026,INDEX('2026_budget'!$B$59:$M$69,MATCH(E215,'2026_budget'!$A$59:$A$69,0),MATCH(C215,'2026_budget'!$B$58:$M$58,0))
)</f>
        <v>336106.66666666669</v>
      </c>
      <c r="G215" s="13" cm="1">
        <f t="array" ref="G215">_xlfn.SWITCH(B215,
2024,INDEX('2024_actual'!$B$59:$M$69,MATCH(E215,'2024_actual'!$A$59:$A$69,0),MATCH(C215,'2024_actual'!$B$58:$M$58,0)),
2025,INDEX('2025_actual'!$B$59:$M$69,MATCH(E215,'2025_actual'!$A$59:$A$69,0),MATCH(C215,'2025_actual'!$B$58:$M$58,0)),
2026,INDEX('2026_actual'!$B$59:$M$69,MATCH(E215,'2026_actual'!$A$59:$A$69,0),MATCH(C215,'2026_actual'!$B$58:$M$58,0))
)</f>
        <v>344900</v>
      </c>
      <c r="H215" s="13">
        <f t="shared" si="50"/>
        <v>8793.3333333333139</v>
      </c>
      <c r="I215" s="10">
        <f t="shared" si="47"/>
        <v>2.6162329419231932E-2</v>
      </c>
      <c r="J215" s="6" t="str">
        <f t="shared" si="51"/>
        <v>U</v>
      </c>
    </row>
    <row r="216" spans="1:10" x14ac:dyDescent="0.35">
      <c r="A216" s="26">
        <v>45992</v>
      </c>
      <c r="B216">
        <v>2025</v>
      </c>
      <c r="C216" t="s">
        <v>34</v>
      </c>
      <c r="D216" t="s">
        <v>146</v>
      </c>
      <c r="E216" t="s">
        <v>70</v>
      </c>
      <c r="F216" s="13" cm="1">
        <f t="array" ref="F216">_xlfn.SWITCH(B216,
2024,INDEX('2024_budget'!$B$59:$M$69,MATCH(E216,'2024_budget'!$A$59:$A$69,0),MATCH(C216,'2024_budget'!$B$58:$M$58,0)),
2025,INDEX('2025_budget'!$B$59:$M$69,MATCH(E216,'2025_budget'!$A$59:$A$69,0),MATCH(C216,'2025_budget'!$B$58:$M$58,0)),
2026,INDEX('2026_budget'!$B$59:$M$69,MATCH(E216,'2026_budget'!$A$59:$A$69,0),MATCH(C216,'2026_budget'!$B$58:$M$58,0))
)</f>
        <v>3520313.3333333335</v>
      </c>
      <c r="G216" s="13" cm="1">
        <f t="array" ref="G216">_xlfn.SWITCH(B216,
2024,INDEX('2024_actual'!$B$59:$M$69,MATCH(E216,'2024_actual'!$A$59:$A$69,0),MATCH(C216,'2024_actual'!$B$58:$M$58,0)),
2025,INDEX('2025_actual'!$B$59:$M$69,MATCH(E216,'2025_actual'!$A$59:$A$69,0),MATCH(C216,'2025_actual'!$B$58:$M$58,0)),
2026,INDEX('2026_actual'!$B$59:$M$69,MATCH(E216,'2026_actual'!$A$59:$A$69,0),MATCH(C216,'2026_actual'!$B$58:$M$58,0))
)</f>
        <v>3607650</v>
      </c>
      <c r="H216" s="13">
        <f t="shared" si="50"/>
        <v>87336.666666666511</v>
      </c>
      <c r="I216" s="10">
        <f t="shared" si="47"/>
        <v>2.4809344622732401E-2</v>
      </c>
      <c r="J216" s="6" t="str">
        <f t="shared" si="51"/>
        <v>U</v>
      </c>
    </row>
    <row r="217" spans="1:10" x14ac:dyDescent="0.35">
      <c r="A217" s="26">
        <v>45992</v>
      </c>
      <c r="B217">
        <v>2025</v>
      </c>
      <c r="C217" t="s">
        <v>34</v>
      </c>
      <c r="D217" t="s">
        <v>146</v>
      </c>
      <c r="E217" t="s">
        <v>71</v>
      </c>
      <c r="F217" s="13" cm="1">
        <f t="array" ref="F217">_xlfn.SWITCH(B217,
2024,INDEX('2024_budget'!$B$59:$M$69,MATCH(E217,'2024_budget'!$A$59:$A$69,0),MATCH(C217,'2024_budget'!$B$58:$M$58,0)),
2025,INDEX('2025_budget'!$B$59:$M$69,MATCH(E217,'2025_budget'!$A$59:$A$69,0),MATCH(C217,'2025_budget'!$B$58:$M$58,0)),
2026,INDEX('2026_budget'!$B$59:$M$69,MATCH(E217,'2026_budget'!$A$59:$A$69,0),MATCH(C217,'2026_budget'!$B$58:$M$58,0))
)</f>
        <v>1539686.6666666665</v>
      </c>
      <c r="G217" s="13" cm="1">
        <f t="array" ref="G217">_xlfn.SWITCH(B217,
2024,INDEX('2024_actual'!$B$59:$M$69,MATCH(E217,'2024_actual'!$A$59:$A$69,0),MATCH(C217,'2024_actual'!$B$58:$M$58,0)),
2025,INDEX('2025_actual'!$B$59:$M$69,MATCH(E217,'2025_actual'!$A$59:$A$69,0),MATCH(C217,'2025_actual'!$B$58:$M$58,0)),
2026,INDEX('2026_actual'!$B$59:$M$69,MATCH(E217,'2026_actual'!$A$59:$A$69,0),MATCH(C217,'2026_actual'!$B$58:$M$58,0))
)</f>
        <v>1452350</v>
      </c>
      <c r="H217" s="13">
        <f t="shared" si="50"/>
        <v>-87336.666666666511</v>
      </c>
      <c r="I217" s="10">
        <f t="shared" si="47"/>
        <v>-5.6723662390183192E-2</v>
      </c>
      <c r="J217" s="6" t="str">
        <f>IF(G217&gt;=F217,"F","U")</f>
        <v>U</v>
      </c>
    </row>
    <row r="218" spans="1:10" x14ac:dyDescent="0.35">
      <c r="A218" s="26">
        <v>46023</v>
      </c>
      <c r="B218">
        <v>2026</v>
      </c>
      <c r="C218" t="s">
        <v>23</v>
      </c>
      <c r="D218" t="s">
        <v>146</v>
      </c>
      <c r="E218" t="s">
        <v>6</v>
      </c>
      <c r="F218" s="13" cm="1">
        <f t="array" ref="F218">_xlfn.SWITCH(B218,
2024,INDEX('2024_budget'!$B$59:$M$69,MATCH(E218,'2024_budget'!$A$59:$A$69,0),MATCH(C218,'2024_budget'!$B$58:$M$58,0)),
2025,INDEX('2025_budget'!$B$59:$M$69,MATCH(E218,'2025_budget'!$A$59:$A$69,0),MATCH(C218,'2025_budget'!$B$58:$M$58,0)),
2026,INDEX('2026_budget'!$B$59:$M$69,MATCH(E218,'2026_budget'!$A$59:$A$69,0),MATCH(C218,'2026_budget'!$B$58:$M$58,0))
)</f>
        <v>3703000.0000000005</v>
      </c>
      <c r="G218" s="13" cm="1">
        <f t="array" ref="G218">_xlfn.SWITCH(B218,
2024,INDEX('2024_actual'!$B$59:$M$69,MATCH(E218,'2024_actual'!$A$59:$A$69,0),MATCH(C218,'2024_actual'!$B$58:$M$58,0)),
2025,INDEX('2025_actual'!$B$59:$M$69,MATCH(E218,'2025_actual'!$A$59:$A$69,0),MATCH(C218,'2025_actual'!$B$58:$M$58,0)),
2026,INDEX('2026_actual'!$B$59:$M$69,MATCH(E218,'2026_actual'!$A$59:$A$69,0),MATCH(C218,'2026_actual'!$B$58:$M$58,0))
)</f>
        <v>3650000</v>
      </c>
      <c r="H218" s="13">
        <f>G218-F218</f>
        <v>-53000.000000000466</v>
      </c>
      <c r="I218" s="10">
        <f t="shared" si="47"/>
        <v>-1.4312719416689296E-2</v>
      </c>
      <c r="J218" s="6" t="str">
        <f>IF(G218&gt;=F218,"F","U")</f>
        <v>U</v>
      </c>
    </row>
    <row r="219" spans="1:10" x14ac:dyDescent="0.35">
      <c r="A219" s="26">
        <v>46023</v>
      </c>
      <c r="B219">
        <v>2026</v>
      </c>
      <c r="C219" t="s">
        <v>23</v>
      </c>
      <c r="D219" t="s">
        <v>11</v>
      </c>
      <c r="E219" t="s">
        <v>64</v>
      </c>
      <c r="F219" s="13" cm="1">
        <f t="array" ref="F219">_xlfn.SWITCH(B219,
2024,INDEX('2024_budget'!$B$59:$M$69,MATCH(E219,'2024_budget'!$A$59:$A$69,0),MATCH(C219,'2024_budget'!$B$58:$M$58,0)),
2025,INDEX('2025_budget'!$B$59:$M$69,MATCH(E219,'2025_budget'!$A$59:$A$69,0),MATCH(C219,'2025_budget'!$B$58:$M$58,0)),
2026,INDEX('2026_budget'!$B$59:$M$69,MATCH(E219,'2026_budget'!$A$59:$A$69,0),MATCH(C219,'2026_budget'!$B$58:$M$58,0))
)</f>
        <v>838175</v>
      </c>
      <c r="G219" s="13" cm="1">
        <f t="array" ref="G219">_xlfn.SWITCH(B219,
2024,INDEX('2024_actual'!$B$59:$M$69,MATCH(E219,'2024_actual'!$A$59:$A$69,0),MATCH(C219,'2024_actual'!$B$58:$M$58,0)),
2025,INDEX('2025_actual'!$B$59:$M$69,MATCH(E219,'2025_actual'!$A$59:$A$69,0),MATCH(C219,'2025_actual'!$B$58:$M$58,0)),
2026,INDEX('2026_actual'!$B$59:$M$69,MATCH(E219,'2026_actual'!$A$59:$A$69,0),MATCH(C219,'2026_actual'!$B$58:$M$58,0))
)</f>
        <v>822000</v>
      </c>
      <c r="H219" s="13">
        <f t="shared" ref="H219:H226" si="52">G219-F219</f>
        <v>-16175</v>
      </c>
      <c r="I219" s="10">
        <f t="shared" si="47"/>
        <v>-1.9297879321144153E-2</v>
      </c>
      <c r="J219" s="6" t="str">
        <f>IF(G219&lt;=F219,"F","U")</f>
        <v>F</v>
      </c>
    </row>
    <row r="220" spans="1:10" x14ac:dyDescent="0.35">
      <c r="A220" s="26">
        <v>46023</v>
      </c>
      <c r="B220">
        <v>2026</v>
      </c>
      <c r="C220" t="s">
        <v>23</v>
      </c>
      <c r="D220" t="s">
        <v>13</v>
      </c>
      <c r="E220" t="s">
        <v>65</v>
      </c>
      <c r="F220" s="13" cm="1">
        <f t="array" ref="F220">_xlfn.SWITCH(B220,
2024,INDEX('2024_budget'!$B$59:$M$69,MATCH(E220,'2024_budget'!$A$59:$A$69,0),MATCH(C220,'2024_budget'!$B$58:$M$58,0)),
2025,INDEX('2025_budget'!$B$59:$M$69,MATCH(E220,'2025_budget'!$A$59:$A$69,0),MATCH(C220,'2025_budget'!$B$58:$M$58,0)),
2026,INDEX('2026_budget'!$B$59:$M$69,MATCH(E220,'2026_budget'!$A$59:$A$69,0),MATCH(C220,'2026_budget'!$B$58:$M$58,0))
)</f>
        <v>475065.20000000007</v>
      </c>
      <c r="G220" s="13" cm="1">
        <f t="array" ref="G220">_xlfn.SWITCH(B220,
2024,INDEX('2024_actual'!$B$59:$M$69,MATCH(E220,'2024_actual'!$A$59:$A$69,0),MATCH(C220,'2024_actual'!$B$58:$M$58,0)),
2025,INDEX('2025_actual'!$B$59:$M$69,MATCH(E220,'2025_actual'!$A$59:$A$69,0),MATCH(C220,'2025_actual'!$B$58:$M$58,0)),
2026,INDEX('2026_actual'!$B$59:$M$69,MATCH(E220,'2026_actual'!$A$59:$A$69,0),MATCH(C220,'2026_actual'!$B$58:$M$58,0))
)</f>
        <v>483100</v>
      </c>
      <c r="H220" s="13">
        <f t="shared" si="52"/>
        <v>8034.7999999999302</v>
      </c>
      <c r="I220" s="10">
        <f t="shared" si="47"/>
        <v>1.6913046882827722E-2</v>
      </c>
      <c r="J220" s="6" t="str">
        <f t="shared" ref="J220:J225" si="53">IF(G220&lt;=F220,"F","U")</f>
        <v>U</v>
      </c>
    </row>
    <row r="221" spans="1:10" x14ac:dyDescent="0.35">
      <c r="A221" s="26">
        <v>46023</v>
      </c>
      <c r="B221">
        <v>2026</v>
      </c>
      <c r="C221" t="s">
        <v>23</v>
      </c>
      <c r="D221" t="s">
        <v>10</v>
      </c>
      <c r="E221" t="s">
        <v>66</v>
      </c>
      <c r="F221" s="13" cm="1">
        <f t="array" ref="F221">_xlfn.SWITCH(B221,
2024,INDEX('2024_budget'!$B$59:$M$69,MATCH(E221,'2024_budget'!$A$59:$A$69,0),MATCH(C221,'2024_budget'!$B$58:$M$58,0)),
2025,INDEX('2025_budget'!$B$59:$M$69,MATCH(E221,'2025_budget'!$A$59:$A$69,0),MATCH(C221,'2025_budget'!$B$58:$M$58,0)),
2026,INDEX('2026_budget'!$B$59:$M$69,MATCH(E221,'2026_budget'!$A$59:$A$69,0),MATCH(C221,'2026_budget'!$B$58:$M$58,0))
)</f>
        <v>1343036.3</v>
      </c>
      <c r="G221" s="13" cm="1">
        <f t="array" ref="G221">_xlfn.SWITCH(B221,
2024,INDEX('2024_actual'!$B$59:$M$69,MATCH(E221,'2024_actual'!$A$59:$A$69,0),MATCH(C221,'2024_actual'!$B$58:$M$58,0)),
2025,INDEX('2025_actual'!$B$59:$M$69,MATCH(E221,'2025_actual'!$A$59:$A$69,0),MATCH(C221,'2025_actual'!$B$58:$M$58,0)),
2026,INDEX('2026_actual'!$B$59:$M$69,MATCH(E221,'2026_actual'!$A$59:$A$69,0),MATCH(C221,'2026_actual'!$B$58:$M$58,0))
)</f>
        <v>1347500</v>
      </c>
      <c r="H221" s="13">
        <f t="shared" si="52"/>
        <v>4463.6999999999534</v>
      </c>
      <c r="I221" s="10">
        <f t="shared" si="47"/>
        <v>3.3235884986876031E-3</v>
      </c>
      <c r="J221" s="6" t="str">
        <f t="shared" si="53"/>
        <v>U</v>
      </c>
    </row>
    <row r="222" spans="1:10" x14ac:dyDescent="0.35">
      <c r="A222" s="26">
        <v>46023</v>
      </c>
      <c r="B222">
        <v>2026</v>
      </c>
      <c r="C222" t="s">
        <v>23</v>
      </c>
      <c r="D222" t="s">
        <v>14</v>
      </c>
      <c r="E222" t="s">
        <v>67</v>
      </c>
      <c r="F222" s="13" cm="1">
        <f t="array" ref="F222">_xlfn.SWITCH(B222,
2024,INDEX('2024_budget'!$B$59:$M$69,MATCH(E222,'2024_budget'!$A$59:$A$69,0),MATCH(C222,'2024_budget'!$B$58:$M$58,0)),
2025,INDEX('2025_budget'!$B$59:$M$69,MATCH(E222,'2025_budget'!$A$59:$A$69,0),MATCH(C222,'2025_budget'!$B$58:$M$58,0)),
2026,INDEX('2026_budget'!$B$59:$M$69,MATCH(E222,'2026_budget'!$A$59:$A$69,0),MATCH(C222,'2026_budget'!$B$58:$M$58,0))
)</f>
        <v>283797.08333333331</v>
      </c>
      <c r="G222" s="13" cm="1">
        <f t="array" ref="G222">_xlfn.SWITCH(B222,
2024,INDEX('2024_actual'!$B$59:$M$69,MATCH(E222,'2024_actual'!$A$59:$A$69,0),MATCH(C222,'2024_actual'!$B$58:$M$58,0)),
2025,INDEX('2025_actual'!$B$59:$M$69,MATCH(E222,'2025_actual'!$A$59:$A$69,0),MATCH(C222,'2025_actual'!$B$58:$M$58,0)),
2026,INDEX('2026_actual'!$B$59:$M$69,MATCH(E222,'2026_actual'!$A$59:$A$69,0),MATCH(C222,'2026_actual'!$B$58:$M$58,0))
)</f>
        <v>278150</v>
      </c>
      <c r="H222" s="13">
        <f t="shared" si="52"/>
        <v>-5647.0833333333139</v>
      </c>
      <c r="I222" s="10">
        <f t="shared" si="47"/>
        <v>-1.9898313495704756E-2</v>
      </c>
      <c r="J222" s="6" t="str">
        <f t="shared" si="53"/>
        <v>F</v>
      </c>
    </row>
    <row r="223" spans="1:10" x14ac:dyDescent="0.35">
      <c r="A223" s="26">
        <v>46023</v>
      </c>
      <c r="B223">
        <v>2026</v>
      </c>
      <c r="C223" t="s">
        <v>23</v>
      </c>
      <c r="D223" t="s">
        <v>12</v>
      </c>
      <c r="E223" t="s">
        <v>68</v>
      </c>
      <c r="F223" s="13" cm="1">
        <f t="array" ref="F223">_xlfn.SWITCH(B223,
2024,INDEX('2024_budget'!$B$59:$M$69,MATCH(E223,'2024_budget'!$A$59:$A$69,0),MATCH(C223,'2024_budget'!$B$58:$M$58,0)),
2025,INDEX('2025_budget'!$B$59:$M$69,MATCH(E223,'2025_budget'!$A$59:$A$69,0),MATCH(C223,'2025_budget'!$B$58:$M$58,0)),
2026,INDEX('2026_budget'!$B$59:$M$69,MATCH(E223,'2026_budget'!$A$59:$A$69,0),MATCH(C223,'2026_budget'!$B$58:$M$58,0))
)</f>
        <v>339635.4</v>
      </c>
      <c r="G223" s="13" cm="1">
        <f t="array" ref="G223">_xlfn.SWITCH(B223,
2024,INDEX('2024_actual'!$B$59:$M$69,MATCH(E223,'2024_actual'!$A$59:$A$69,0),MATCH(C223,'2024_actual'!$B$58:$M$58,0)),
2025,INDEX('2025_actual'!$B$59:$M$69,MATCH(E223,'2025_actual'!$A$59:$A$69,0),MATCH(C223,'2025_actual'!$B$58:$M$58,0)),
2026,INDEX('2026_actual'!$B$59:$M$69,MATCH(E223,'2026_actual'!$A$59:$A$69,0),MATCH(C223,'2026_actual'!$B$58:$M$58,0))
)</f>
        <v>334400</v>
      </c>
      <c r="H223" s="13">
        <f t="shared" si="52"/>
        <v>-5235.4000000000233</v>
      </c>
      <c r="I223" s="10">
        <f t="shared" si="47"/>
        <v>-1.5414765363092373E-2</v>
      </c>
      <c r="J223" s="6" t="str">
        <f t="shared" si="53"/>
        <v>F</v>
      </c>
    </row>
    <row r="224" spans="1:10" x14ac:dyDescent="0.35">
      <c r="A224" s="26">
        <v>46023</v>
      </c>
      <c r="B224">
        <v>2026</v>
      </c>
      <c r="C224" t="s">
        <v>23</v>
      </c>
      <c r="D224" t="s">
        <v>15</v>
      </c>
      <c r="E224" t="s">
        <v>69</v>
      </c>
      <c r="F224" s="13" cm="1">
        <f t="array" ref="F224">_xlfn.SWITCH(B224,
2024,INDEX('2024_budget'!$B$59:$M$69,MATCH(E224,'2024_budget'!$A$59:$A$69,0),MATCH(C224,'2024_budget'!$B$58:$M$58,0)),
2025,INDEX('2025_budget'!$B$59:$M$69,MATCH(E224,'2025_budget'!$A$59:$A$69,0),MATCH(C224,'2025_budget'!$B$58:$M$58,0)),
2026,INDEX('2026_budget'!$B$59:$M$69,MATCH(E224,'2026_budget'!$A$59:$A$69,0),MATCH(C224,'2026_budget'!$B$58:$M$58,0))
)</f>
        <v>358515.15</v>
      </c>
      <c r="G224" s="13" cm="1">
        <f t="array" ref="G224">_xlfn.SWITCH(B224,
2024,INDEX('2024_actual'!$B$59:$M$69,MATCH(E224,'2024_actual'!$A$59:$A$69,0),MATCH(C224,'2024_actual'!$B$58:$M$58,0)),
2025,INDEX('2025_actual'!$B$59:$M$69,MATCH(E224,'2025_actual'!$A$59:$A$69,0),MATCH(C224,'2025_actual'!$B$58:$M$58,0)),
2026,INDEX('2026_actual'!$B$59:$M$69,MATCH(E224,'2026_actual'!$A$59:$A$69,0),MATCH(C224,'2026_actual'!$B$58:$M$58,0))
)</f>
        <v>352650</v>
      </c>
      <c r="H224" s="13">
        <f t="shared" si="52"/>
        <v>-5865.1500000000233</v>
      </c>
      <c r="I224" s="10">
        <f t="shared" si="47"/>
        <v>-1.6359559700615225E-2</v>
      </c>
      <c r="J224" s="6" t="str">
        <f t="shared" si="53"/>
        <v>F</v>
      </c>
    </row>
    <row r="225" spans="1:10" x14ac:dyDescent="0.35">
      <c r="A225" s="26">
        <v>46023</v>
      </c>
      <c r="B225">
        <v>2026</v>
      </c>
      <c r="C225" t="s">
        <v>23</v>
      </c>
      <c r="D225" t="s">
        <v>146</v>
      </c>
      <c r="E225" t="s">
        <v>70</v>
      </c>
      <c r="F225" s="13" cm="1">
        <f t="array" ref="F225">_xlfn.SWITCH(B225,
2024,INDEX('2024_budget'!$B$59:$M$69,MATCH(E225,'2024_budget'!$A$59:$A$69,0),MATCH(C225,'2024_budget'!$B$58:$M$58,0)),
2025,INDEX('2025_budget'!$B$59:$M$69,MATCH(E225,'2025_budget'!$A$59:$A$69,0),MATCH(C225,'2025_budget'!$B$58:$M$58,0)),
2026,INDEX('2026_budget'!$B$59:$M$69,MATCH(E225,'2026_budget'!$A$59:$A$69,0),MATCH(C225,'2026_budget'!$B$58:$M$58,0))
)</f>
        <v>3638224.1333333333</v>
      </c>
      <c r="G225" s="13" cm="1">
        <f t="array" ref="G225">_xlfn.SWITCH(B225,
2024,INDEX('2024_actual'!$B$59:$M$69,MATCH(E225,'2024_actual'!$A$59:$A$69,0),MATCH(C225,'2024_actual'!$B$58:$M$58,0)),
2025,INDEX('2025_actual'!$B$59:$M$69,MATCH(E225,'2025_actual'!$A$59:$A$69,0),MATCH(C225,'2025_actual'!$B$58:$M$58,0)),
2026,INDEX('2026_actual'!$B$59:$M$69,MATCH(E225,'2026_actual'!$A$59:$A$69,0),MATCH(C225,'2026_actual'!$B$58:$M$58,0))
)</f>
        <v>3617800</v>
      </c>
      <c r="H225" s="13">
        <f t="shared" si="52"/>
        <v>-20424.133333333302</v>
      </c>
      <c r="I225" s="10">
        <f t="shared" si="47"/>
        <v>-5.6137644589314391E-3</v>
      </c>
      <c r="J225" s="6" t="str">
        <f t="shared" si="53"/>
        <v>F</v>
      </c>
    </row>
    <row r="226" spans="1:10" x14ac:dyDescent="0.35">
      <c r="A226" s="26">
        <v>46023</v>
      </c>
      <c r="B226">
        <v>2026</v>
      </c>
      <c r="C226" t="s">
        <v>23</v>
      </c>
      <c r="D226" t="s">
        <v>146</v>
      </c>
      <c r="E226" t="s">
        <v>71</v>
      </c>
      <c r="F226" s="13" cm="1">
        <f t="array" ref="F226">_xlfn.SWITCH(B226,
2024,INDEX('2024_budget'!$B$59:$M$69,MATCH(E226,'2024_budget'!$A$59:$A$69,0),MATCH(C226,'2024_budget'!$B$58:$M$58,0)),
2025,INDEX('2025_budget'!$B$59:$M$69,MATCH(E226,'2025_budget'!$A$59:$A$69,0),MATCH(C226,'2025_budget'!$B$58:$M$58,0)),
2026,INDEX('2026_budget'!$B$59:$M$69,MATCH(E226,'2026_budget'!$A$59:$A$69,0),MATCH(C226,'2026_budget'!$B$58:$M$58,0))
)</f>
        <v>64775.866666667163</v>
      </c>
      <c r="G226" s="13" cm="1">
        <f t="array" ref="G226">_xlfn.SWITCH(B226,
2024,INDEX('2024_actual'!$B$59:$M$69,MATCH(E226,'2024_actual'!$A$59:$A$69,0),MATCH(C226,'2024_actual'!$B$58:$M$58,0)),
2025,INDEX('2025_actual'!$B$59:$M$69,MATCH(E226,'2025_actual'!$A$59:$A$69,0),MATCH(C226,'2025_actual'!$B$58:$M$58,0)),
2026,INDEX('2026_actual'!$B$59:$M$69,MATCH(E226,'2026_actual'!$A$59:$A$69,0),MATCH(C226,'2026_actual'!$B$58:$M$58,0))
)</f>
        <v>32200</v>
      </c>
      <c r="H226" s="13">
        <f t="shared" si="52"/>
        <v>-32575.866666667163</v>
      </c>
      <c r="I226" s="10">
        <f t="shared" si="47"/>
        <v>-0.5029012862815202</v>
      </c>
      <c r="J226" s="6" t="str">
        <f>IF(G226&gt;=F226,"F","U")</f>
        <v>U</v>
      </c>
    </row>
    <row r="227" spans="1:10" x14ac:dyDescent="0.35">
      <c r="A227" s="26">
        <v>46054</v>
      </c>
      <c r="B227">
        <v>2026</v>
      </c>
      <c r="C227" t="s">
        <v>24</v>
      </c>
      <c r="D227" t="s">
        <v>146</v>
      </c>
      <c r="E227" t="s">
        <v>6</v>
      </c>
      <c r="F227" s="13" cm="1">
        <f t="array" ref="F227">_xlfn.SWITCH(B227,
2024,INDEX('2024_budget'!$B$59:$M$69,MATCH(E227,'2024_budget'!$A$59:$A$69,0),MATCH(C227,'2024_budget'!$B$58:$M$58,0)),
2025,INDEX('2025_budget'!$B$59:$M$69,MATCH(E227,'2025_budget'!$A$59:$A$69,0),MATCH(C227,'2025_budget'!$B$58:$M$58,0)),
2026,INDEX('2026_budget'!$B$59:$M$69,MATCH(E227,'2026_budget'!$A$59:$A$69,0),MATCH(C227,'2026_budget'!$B$58:$M$58,0))
)</f>
        <v>3703000.0000000005</v>
      </c>
      <c r="G227" s="13" cm="1">
        <f t="array" ref="G227">_xlfn.SWITCH(B227,
2024,INDEX('2024_actual'!$B$59:$M$69,MATCH(E227,'2024_actual'!$A$59:$A$69,0),MATCH(C227,'2024_actual'!$B$58:$M$58,0)),
2025,INDEX('2025_actual'!$B$59:$M$69,MATCH(E227,'2025_actual'!$A$59:$A$69,0),MATCH(C227,'2025_actual'!$B$58:$M$58,0)),
2026,INDEX('2026_actual'!$B$59:$M$69,MATCH(E227,'2026_actual'!$A$59:$A$69,0),MATCH(C227,'2026_actual'!$B$58:$M$58,0))
)</f>
        <v>3720000</v>
      </c>
      <c r="H227" s="13">
        <f>G227-F227</f>
        <v>16999.999999999534</v>
      </c>
      <c r="I227" s="10">
        <f t="shared" si="47"/>
        <v>4.5908722657303624E-3</v>
      </c>
      <c r="J227" s="6" t="str">
        <f>IF(G227&gt;=F227,"F","U")</f>
        <v>F</v>
      </c>
    </row>
    <row r="228" spans="1:10" x14ac:dyDescent="0.35">
      <c r="A228" s="26">
        <v>46054</v>
      </c>
      <c r="B228">
        <v>2026</v>
      </c>
      <c r="C228" t="s">
        <v>24</v>
      </c>
      <c r="D228" t="s">
        <v>11</v>
      </c>
      <c r="E228" t="s">
        <v>64</v>
      </c>
      <c r="F228" s="13" cm="1">
        <f t="array" ref="F228">_xlfn.SWITCH(B228,
2024,INDEX('2024_budget'!$B$59:$M$69,MATCH(E228,'2024_budget'!$A$59:$A$69,0),MATCH(C228,'2024_budget'!$B$58:$M$58,0)),
2025,INDEX('2025_budget'!$B$59:$M$69,MATCH(E228,'2025_budget'!$A$59:$A$69,0),MATCH(C228,'2025_budget'!$B$58:$M$58,0)),
2026,INDEX('2026_budget'!$B$59:$M$69,MATCH(E228,'2026_budget'!$A$59:$A$69,0),MATCH(C228,'2026_budget'!$B$58:$M$58,0))
)</f>
        <v>838175</v>
      </c>
      <c r="G228" s="13" cm="1">
        <f t="array" ref="G228">_xlfn.SWITCH(B228,
2024,INDEX('2024_actual'!$B$59:$M$69,MATCH(E228,'2024_actual'!$A$59:$A$69,0),MATCH(C228,'2024_actual'!$B$58:$M$58,0)),
2025,INDEX('2025_actual'!$B$59:$M$69,MATCH(E228,'2025_actual'!$A$59:$A$69,0),MATCH(C228,'2025_actual'!$B$58:$M$58,0)),
2026,INDEX('2026_actual'!$B$59:$M$69,MATCH(E228,'2026_actual'!$A$59:$A$69,0),MATCH(C228,'2026_actual'!$B$58:$M$58,0))
)</f>
        <v>826000</v>
      </c>
      <c r="H228" s="13">
        <f t="shared" ref="H228:H235" si="54">G228-F228</f>
        <v>-12175</v>
      </c>
      <c r="I228" s="10">
        <f t="shared" si="47"/>
        <v>-1.4525606227816387E-2</v>
      </c>
      <c r="J228" s="6" t="str">
        <f>IF(G228&lt;=F228,"F","U")</f>
        <v>F</v>
      </c>
    </row>
    <row r="229" spans="1:10" x14ac:dyDescent="0.35">
      <c r="A229" s="26">
        <v>46054</v>
      </c>
      <c r="B229">
        <v>2026</v>
      </c>
      <c r="C229" t="s">
        <v>24</v>
      </c>
      <c r="D229" t="s">
        <v>13</v>
      </c>
      <c r="E229" t="s">
        <v>65</v>
      </c>
      <c r="F229" s="13" cm="1">
        <f t="array" ref="F229">_xlfn.SWITCH(B229,
2024,INDEX('2024_budget'!$B$59:$M$69,MATCH(E229,'2024_budget'!$A$59:$A$69,0),MATCH(C229,'2024_budget'!$B$58:$M$58,0)),
2025,INDEX('2025_budget'!$B$59:$M$69,MATCH(E229,'2025_budget'!$A$59:$A$69,0),MATCH(C229,'2025_budget'!$B$58:$M$58,0)),
2026,INDEX('2026_budget'!$B$59:$M$69,MATCH(E229,'2026_budget'!$A$59:$A$69,0),MATCH(C229,'2026_budget'!$B$58:$M$58,0))
)</f>
        <v>475065.20000000007</v>
      </c>
      <c r="G229" s="13" cm="1">
        <f t="array" ref="G229">_xlfn.SWITCH(B229,
2024,INDEX('2024_actual'!$B$59:$M$69,MATCH(E229,'2024_actual'!$A$59:$A$69,0),MATCH(C229,'2024_actual'!$B$58:$M$58,0)),
2025,INDEX('2025_actual'!$B$59:$M$69,MATCH(E229,'2025_actual'!$A$59:$A$69,0),MATCH(C229,'2025_actual'!$B$58:$M$58,0)),
2026,INDEX('2026_actual'!$B$59:$M$69,MATCH(E229,'2026_actual'!$A$59:$A$69,0),MATCH(C229,'2026_actual'!$B$58:$M$58,0))
)</f>
        <v>488100</v>
      </c>
      <c r="H229" s="13">
        <f t="shared" si="54"/>
        <v>13034.79999999993</v>
      </c>
      <c r="I229" s="10">
        <f t="shared" si="47"/>
        <v>2.7437917995256078E-2</v>
      </c>
      <c r="J229" s="6" t="str">
        <f t="shared" ref="J229:J234" si="55">IF(G229&lt;=F229,"F","U")</f>
        <v>U</v>
      </c>
    </row>
    <row r="230" spans="1:10" x14ac:dyDescent="0.35">
      <c r="A230" s="26">
        <v>46054</v>
      </c>
      <c r="B230">
        <v>2026</v>
      </c>
      <c r="C230" t="s">
        <v>24</v>
      </c>
      <c r="D230" t="s">
        <v>10</v>
      </c>
      <c r="E230" t="s">
        <v>66</v>
      </c>
      <c r="F230" s="13" cm="1">
        <f t="array" ref="F230">_xlfn.SWITCH(B230,
2024,INDEX('2024_budget'!$B$59:$M$69,MATCH(E230,'2024_budget'!$A$59:$A$69,0),MATCH(C230,'2024_budget'!$B$58:$M$58,0)),
2025,INDEX('2025_budget'!$B$59:$M$69,MATCH(E230,'2025_budget'!$A$59:$A$69,0),MATCH(C230,'2025_budget'!$B$58:$M$58,0)),
2026,INDEX('2026_budget'!$B$59:$M$69,MATCH(E230,'2026_budget'!$A$59:$A$69,0),MATCH(C230,'2026_budget'!$B$58:$M$58,0))
)</f>
        <v>1343036.3</v>
      </c>
      <c r="G230" s="13" cm="1">
        <f t="array" ref="G230">_xlfn.SWITCH(B230,
2024,INDEX('2024_actual'!$B$59:$M$69,MATCH(E230,'2024_actual'!$A$59:$A$69,0),MATCH(C230,'2024_actual'!$B$58:$M$58,0)),
2025,INDEX('2025_actual'!$B$59:$M$69,MATCH(E230,'2025_actual'!$A$59:$A$69,0),MATCH(C230,'2025_actual'!$B$58:$M$58,0)),
2026,INDEX('2026_actual'!$B$59:$M$69,MATCH(E230,'2026_actual'!$A$59:$A$69,0),MATCH(C230,'2026_actual'!$B$58:$M$58,0))
)</f>
        <v>1352500</v>
      </c>
      <c r="H230" s="13">
        <f t="shared" si="54"/>
        <v>9463.6999999999534</v>
      </c>
      <c r="I230" s="10">
        <f t="shared" si="47"/>
        <v>7.0464960626901545E-3</v>
      </c>
      <c r="J230" s="6" t="str">
        <f t="shared" si="55"/>
        <v>U</v>
      </c>
    </row>
    <row r="231" spans="1:10" x14ac:dyDescent="0.35">
      <c r="A231" s="26">
        <v>46054</v>
      </c>
      <c r="B231">
        <v>2026</v>
      </c>
      <c r="C231" t="s">
        <v>24</v>
      </c>
      <c r="D231" t="s">
        <v>14</v>
      </c>
      <c r="E231" t="s">
        <v>67</v>
      </c>
      <c r="F231" s="13" cm="1">
        <f t="array" ref="F231">_xlfn.SWITCH(B231,
2024,INDEX('2024_budget'!$B$59:$M$69,MATCH(E231,'2024_budget'!$A$59:$A$69,0),MATCH(C231,'2024_budget'!$B$58:$M$58,0)),
2025,INDEX('2025_budget'!$B$59:$M$69,MATCH(E231,'2025_budget'!$A$59:$A$69,0),MATCH(C231,'2025_budget'!$B$58:$M$58,0)),
2026,INDEX('2026_budget'!$B$59:$M$69,MATCH(E231,'2026_budget'!$A$59:$A$69,0),MATCH(C231,'2026_budget'!$B$58:$M$58,0))
)</f>
        <v>283797.08333333331</v>
      </c>
      <c r="G231" s="13" cm="1">
        <f t="array" ref="G231">_xlfn.SWITCH(B231,
2024,INDEX('2024_actual'!$B$59:$M$69,MATCH(E231,'2024_actual'!$A$59:$A$69,0),MATCH(C231,'2024_actual'!$B$58:$M$58,0)),
2025,INDEX('2025_actual'!$B$59:$M$69,MATCH(E231,'2025_actual'!$A$59:$A$69,0),MATCH(C231,'2025_actual'!$B$58:$M$58,0)),
2026,INDEX('2026_actual'!$B$59:$M$69,MATCH(E231,'2026_actual'!$A$59:$A$69,0),MATCH(C231,'2026_actual'!$B$58:$M$58,0))
)</f>
        <v>278150</v>
      </c>
      <c r="H231" s="13">
        <f t="shared" si="54"/>
        <v>-5647.0833333333139</v>
      </c>
      <c r="I231" s="10">
        <f t="shared" si="47"/>
        <v>-1.9898313495704756E-2</v>
      </c>
      <c r="J231" s="6" t="str">
        <f t="shared" si="55"/>
        <v>F</v>
      </c>
    </row>
    <row r="232" spans="1:10" x14ac:dyDescent="0.35">
      <c r="A232" s="26">
        <v>46054</v>
      </c>
      <c r="B232">
        <v>2026</v>
      </c>
      <c r="C232" t="s">
        <v>24</v>
      </c>
      <c r="D232" t="s">
        <v>12</v>
      </c>
      <c r="E232" t="s">
        <v>68</v>
      </c>
      <c r="F232" s="13" cm="1">
        <f t="array" ref="F232">_xlfn.SWITCH(B232,
2024,INDEX('2024_budget'!$B$59:$M$69,MATCH(E232,'2024_budget'!$A$59:$A$69,0),MATCH(C232,'2024_budget'!$B$58:$M$58,0)),
2025,INDEX('2025_budget'!$B$59:$M$69,MATCH(E232,'2025_budget'!$A$59:$A$69,0),MATCH(C232,'2025_budget'!$B$58:$M$58,0)),
2026,INDEX('2026_budget'!$B$59:$M$69,MATCH(E232,'2026_budget'!$A$59:$A$69,0),MATCH(C232,'2026_budget'!$B$58:$M$58,0))
)</f>
        <v>339635.4</v>
      </c>
      <c r="G232" s="13" cm="1">
        <f t="array" ref="G232">_xlfn.SWITCH(B232,
2024,INDEX('2024_actual'!$B$59:$M$69,MATCH(E232,'2024_actual'!$A$59:$A$69,0),MATCH(C232,'2024_actual'!$B$58:$M$58,0)),
2025,INDEX('2025_actual'!$B$59:$M$69,MATCH(E232,'2025_actual'!$A$59:$A$69,0),MATCH(C232,'2025_actual'!$B$58:$M$58,0)),
2026,INDEX('2026_actual'!$B$59:$M$69,MATCH(E232,'2026_actual'!$A$59:$A$69,0),MATCH(C232,'2026_actual'!$B$58:$M$58,0))
)</f>
        <v>334400</v>
      </c>
      <c r="H232" s="13">
        <f t="shared" si="54"/>
        <v>-5235.4000000000233</v>
      </c>
      <c r="I232" s="10">
        <f t="shared" si="47"/>
        <v>-1.5414765363092373E-2</v>
      </c>
      <c r="J232" s="6" t="str">
        <f t="shared" si="55"/>
        <v>F</v>
      </c>
    </row>
    <row r="233" spans="1:10" x14ac:dyDescent="0.35">
      <c r="A233" s="26">
        <v>46054</v>
      </c>
      <c r="B233">
        <v>2026</v>
      </c>
      <c r="C233" t="s">
        <v>24</v>
      </c>
      <c r="D233" t="s">
        <v>15</v>
      </c>
      <c r="E233" t="s">
        <v>69</v>
      </c>
      <c r="F233" s="13" cm="1">
        <f t="array" ref="F233">_xlfn.SWITCH(B233,
2024,INDEX('2024_budget'!$B$59:$M$69,MATCH(E233,'2024_budget'!$A$59:$A$69,0),MATCH(C233,'2024_budget'!$B$58:$M$58,0)),
2025,INDEX('2025_budget'!$B$59:$M$69,MATCH(E233,'2025_budget'!$A$59:$A$69,0),MATCH(C233,'2025_budget'!$B$58:$M$58,0)),
2026,INDEX('2026_budget'!$B$59:$M$69,MATCH(E233,'2026_budget'!$A$59:$A$69,0),MATCH(C233,'2026_budget'!$B$58:$M$58,0))
)</f>
        <v>358515.15</v>
      </c>
      <c r="G233" s="13" cm="1">
        <f t="array" ref="G233">_xlfn.SWITCH(B233,
2024,INDEX('2024_actual'!$B$59:$M$69,MATCH(E233,'2024_actual'!$A$59:$A$69,0),MATCH(C233,'2024_actual'!$B$58:$M$58,0)),
2025,INDEX('2025_actual'!$B$59:$M$69,MATCH(E233,'2025_actual'!$A$59:$A$69,0),MATCH(C233,'2025_actual'!$B$58:$M$58,0)),
2026,INDEX('2026_actual'!$B$59:$M$69,MATCH(E233,'2026_actual'!$A$59:$A$69,0),MATCH(C233,'2026_actual'!$B$58:$M$58,0))
)</f>
        <v>352650</v>
      </c>
      <c r="H233" s="13">
        <f t="shared" si="54"/>
        <v>-5865.1500000000233</v>
      </c>
      <c r="I233" s="10">
        <f t="shared" si="47"/>
        <v>-1.6359559700615225E-2</v>
      </c>
      <c r="J233" s="6" t="str">
        <f t="shared" si="55"/>
        <v>F</v>
      </c>
    </row>
    <row r="234" spans="1:10" x14ac:dyDescent="0.35">
      <c r="A234" s="26">
        <v>46054</v>
      </c>
      <c r="B234">
        <v>2026</v>
      </c>
      <c r="C234" t="s">
        <v>24</v>
      </c>
      <c r="D234" t="s">
        <v>146</v>
      </c>
      <c r="E234" t="s">
        <v>70</v>
      </c>
      <c r="F234" s="13" cm="1">
        <f t="array" ref="F234">_xlfn.SWITCH(B234,
2024,INDEX('2024_budget'!$B$59:$M$69,MATCH(E234,'2024_budget'!$A$59:$A$69,0),MATCH(C234,'2024_budget'!$B$58:$M$58,0)),
2025,INDEX('2025_budget'!$B$59:$M$69,MATCH(E234,'2025_budget'!$A$59:$A$69,0),MATCH(C234,'2025_budget'!$B$58:$M$58,0)),
2026,INDEX('2026_budget'!$B$59:$M$69,MATCH(E234,'2026_budget'!$A$59:$A$69,0),MATCH(C234,'2026_budget'!$B$58:$M$58,0))
)</f>
        <v>3638224.1333333333</v>
      </c>
      <c r="G234" s="13" cm="1">
        <f t="array" ref="G234">_xlfn.SWITCH(B234,
2024,INDEX('2024_actual'!$B$59:$M$69,MATCH(E234,'2024_actual'!$A$59:$A$69,0),MATCH(C234,'2024_actual'!$B$58:$M$58,0)),
2025,INDEX('2025_actual'!$B$59:$M$69,MATCH(E234,'2025_actual'!$A$59:$A$69,0),MATCH(C234,'2025_actual'!$B$58:$M$58,0)),
2026,INDEX('2026_actual'!$B$59:$M$69,MATCH(E234,'2026_actual'!$A$59:$A$69,0),MATCH(C234,'2026_actual'!$B$58:$M$58,0))
)</f>
        <v>3631800</v>
      </c>
      <c r="H234" s="13">
        <f t="shared" si="54"/>
        <v>-6424.1333333333023</v>
      </c>
      <c r="I234" s="10">
        <f t="shared" si="47"/>
        <v>-1.7657332527909776E-3</v>
      </c>
      <c r="J234" s="6" t="str">
        <f t="shared" si="55"/>
        <v>F</v>
      </c>
    </row>
    <row r="235" spans="1:10" x14ac:dyDescent="0.35">
      <c r="A235" s="26">
        <v>46054</v>
      </c>
      <c r="B235">
        <v>2026</v>
      </c>
      <c r="C235" t="s">
        <v>24</v>
      </c>
      <c r="D235" t="s">
        <v>146</v>
      </c>
      <c r="E235" t="s">
        <v>71</v>
      </c>
      <c r="F235" s="13" cm="1">
        <f t="array" ref="F235">_xlfn.SWITCH(B235,
2024,INDEX('2024_budget'!$B$59:$M$69,MATCH(E235,'2024_budget'!$A$59:$A$69,0),MATCH(C235,'2024_budget'!$B$58:$M$58,0)),
2025,INDEX('2025_budget'!$B$59:$M$69,MATCH(E235,'2025_budget'!$A$59:$A$69,0),MATCH(C235,'2025_budget'!$B$58:$M$58,0)),
2026,INDEX('2026_budget'!$B$59:$M$69,MATCH(E235,'2026_budget'!$A$59:$A$69,0),MATCH(C235,'2026_budget'!$B$58:$M$58,0))
)</f>
        <v>64775.866666667163</v>
      </c>
      <c r="G235" s="13" cm="1">
        <f t="array" ref="G235">_xlfn.SWITCH(B235,
2024,INDEX('2024_actual'!$B$59:$M$69,MATCH(E235,'2024_actual'!$A$59:$A$69,0),MATCH(C235,'2024_actual'!$B$58:$M$58,0)),
2025,INDEX('2025_actual'!$B$59:$M$69,MATCH(E235,'2025_actual'!$A$59:$A$69,0),MATCH(C235,'2025_actual'!$B$58:$M$58,0)),
2026,INDEX('2026_actual'!$B$59:$M$69,MATCH(E235,'2026_actual'!$A$59:$A$69,0),MATCH(C235,'2026_actual'!$B$58:$M$58,0))
)</f>
        <v>88200</v>
      </c>
      <c r="H235" s="13">
        <f t="shared" si="54"/>
        <v>23424.133333332837</v>
      </c>
      <c r="I235" s="10">
        <f t="shared" si="47"/>
        <v>0.36161821583757514</v>
      </c>
      <c r="J235" s="6" t="str">
        <f>IF(G235&gt;=F235,"F","U")</f>
        <v>F</v>
      </c>
    </row>
    <row r="236" spans="1:10" x14ac:dyDescent="0.35">
      <c r="A236" s="26">
        <v>46082</v>
      </c>
      <c r="B236">
        <v>2026</v>
      </c>
      <c r="C236" t="s">
        <v>25</v>
      </c>
      <c r="D236" t="s">
        <v>146</v>
      </c>
      <c r="E236" t="s">
        <v>6</v>
      </c>
      <c r="F236" s="13" cm="1">
        <f t="array" ref="F236">_xlfn.SWITCH(B236,
2024,INDEX('2024_budget'!$B$59:$M$69,MATCH(E236,'2024_budget'!$A$59:$A$69,0),MATCH(C236,'2024_budget'!$B$58:$M$58,0)),
2025,INDEX('2025_budget'!$B$59:$M$69,MATCH(E236,'2025_budget'!$A$59:$A$69,0),MATCH(C236,'2025_budget'!$B$58:$M$58,0)),
2026,INDEX('2026_budget'!$B$59:$M$69,MATCH(E236,'2026_budget'!$A$59:$A$69,0),MATCH(C236,'2026_budget'!$B$58:$M$58,0))
)</f>
        <v>4232000</v>
      </c>
      <c r="G236" s="13" cm="1">
        <f t="array" ref="G236">_xlfn.SWITCH(B236,
2024,INDEX('2024_actual'!$B$59:$M$69,MATCH(E236,'2024_actual'!$A$59:$A$69,0),MATCH(C236,'2024_actual'!$B$58:$M$58,0)),
2025,INDEX('2025_actual'!$B$59:$M$69,MATCH(E236,'2025_actual'!$A$59:$A$69,0),MATCH(C236,'2025_actual'!$B$58:$M$58,0)),
2026,INDEX('2026_actual'!$B$59:$M$69,MATCH(E236,'2026_actual'!$A$59:$A$69,0),MATCH(C236,'2026_actual'!$B$58:$M$58,0))
)</f>
        <v>4180000</v>
      </c>
      <c r="H236" s="13">
        <f>G236-F236</f>
        <v>-52000</v>
      </c>
      <c r="I236" s="10">
        <f t="shared" si="47"/>
        <v>-1.2287334593572778E-2</v>
      </c>
      <c r="J236" s="6" t="str">
        <f>IF(G236&gt;=F236,"F","U")</f>
        <v>U</v>
      </c>
    </row>
    <row r="237" spans="1:10" x14ac:dyDescent="0.35">
      <c r="A237" s="26">
        <v>46082</v>
      </c>
      <c r="B237">
        <v>2026</v>
      </c>
      <c r="C237" t="s">
        <v>25</v>
      </c>
      <c r="D237" t="s">
        <v>11</v>
      </c>
      <c r="E237" t="s">
        <v>64</v>
      </c>
      <c r="F237" s="13" cm="1">
        <f t="array" ref="F237">_xlfn.SWITCH(B237,
2024,INDEX('2024_budget'!$B$59:$M$69,MATCH(E237,'2024_budget'!$A$59:$A$69,0),MATCH(C237,'2024_budget'!$B$58:$M$58,0)),
2025,INDEX('2025_budget'!$B$59:$M$69,MATCH(E237,'2025_budget'!$A$59:$A$69,0),MATCH(C237,'2025_budget'!$B$58:$M$58,0)),
2026,INDEX('2026_budget'!$B$59:$M$69,MATCH(E237,'2026_budget'!$A$59:$A$69,0),MATCH(C237,'2026_budget'!$B$58:$M$58,0))
)</f>
        <v>861980</v>
      </c>
      <c r="G237" s="13" cm="1">
        <f t="array" ref="G237">_xlfn.SWITCH(B237,
2024,INDEX('2024_actual'!$B$59:$M$69,MATCH(E237,'2024_actual'!$A$59:$A$69,0),MATCH(C237,'2024_actual'!$B$58:$M$58,0)),
2025,INDEX('2025_actual'!$B$59:$M$69,MATCH(E237,'2025_actual'!$A$59:$A$69,0),MATCH(C237,'2025_actual'!$B$58:$M$58,0)),
2026,INDEX('2026_actual'!$B$59:$M$69,MATCH(E237,'2026_actual'!$A$59:$A$69,0),MATCH(C237,'2026_actual'!$B$58:$M$58,0))
)</f>
        <v>853000</v>
      </c>
      <c r="H237" s="13">
        <f t="shared" ref="H237:H244" si="56">G237-F237</f>
        <v>-8980</v>
      </c>
      <c r="I237" s="10">
        <f t="shared" si="47"/>
        <v>-1.041787512471287E-2</v>
      </c>
      <c r="J237" s="6" t="str">
        <f>IF(G237&lt;=F237,"F","U")</f>
        <v>F</v>
      </c>
    </row>
    <row r="238" spans="1:10" x14ac:dyDescent="0.35">
      <c r="A238" s="26">
        <v>46082</v>
      </c>
      <c r="B238">
        <v>2026</v>
      </c>
      <c r="C238" t="s">
        <v>25</v>
      </c>
      <c r="D238" t="s">
        <v>13</v>
      </c>
      <c r="E238" t="s">
        <v>65</v>
      </c>
      <c r="F238" s="13" cm="1">
        <f t="array" ref="F238">_xlfn.SWITCH(B238,
2024,INDEX('2024_budget'!$B$59:$M$69,MATCH(E238,'2024_budget'!$A$59:$A$69,0),MATCH(C238,'2024_budget'!$B$58:$M$58,0)),
2025,INDEX('2025_budget'!$B$59:$M$69,MATCH(E238,'2025_budget'!$A$59:$A$69,0),MATCH(C238,'2025_budget'!$B$58:$M$58,0)),
2026,INDEX('2026_budget'!$B$59:$M$69,MATCH(E238,'2026_budget'!$A$59:$A$69,0),MATCH(C238,'2026_budget'!$B$58:$M$58,0))
)</f>
        <v>506805.2</v>
      </c>
      <c r="G238" s="13" cm="1">
        <f t="array" ref="G238">_xlfn.SWITCH(B238,
2024,INDEX('2024_actual'!$B$59:$M$69,MATCH(E238,'2024_actual'!$A$59:$A$69,0),MATCH(C238,'2024_actual'!$B$58:$M$58,0)),
2025,INDEX('2025_actual'!$B$59:$M$69,MATCH(E238,'2025_actual'!$A$59:$A$69,0),MATCH(C238,'2025_actual'!$B$58:$M$58,0)),
2026,INDEX('2026_actual'!$B$59:$M$69,MATCH(E238,'2026_actual'!$A$59:$A$69,0),MATCH(C238,'2026_actual'!$B$58:$M$58,0))
)</f>
        <v>504800</v>
      </c>
      <c r="H238" s="13">
        <f t="shared" si="56"/>
        <v>-2005.2000000000116</v>
      </c>
      <c r="I238" s="10">
        <f t="shared" si="47"/>
        <v>-3.9565497749431367E-3</v>
      </c>
      <c r="J238" s="6" t="str">
        <f t="shared" ref="J238:J243" si="57">IF(G238&lt;=F238,"F","U")</f>
        <v>F</v>
      </c>
    </row>
    <row r="239" spans="1:10" x14ac:dyDescent="0.35">
      <c r="A239" s="26">
        <v>46082</v>
      </c>
      <c r="B239">
        <v>2026</v>
      </c>
      <c r="C239" t="s">
        <v>25</v>
      </c>
      <c r="D239" t="s">
        <v>10</v>
      </c>
      <c r="E239" t="s">
        <v>66</v>
      </c>
      <c r="F239" s="13" cm="1">
        <f t="array" ref="F239">_xlfn.SWITCH(B239,
2024,INDEX('2024_budget'!$B$59:$M$69,MATCH(E239,'2024_budget'!$A$59:$A$69,0),MATCH(C239,'2024_budget'!$B$58:$M$58,0)),
2025,INDEX('2025_budget'!$B$59:$M$69,MATCH(E239,'2025_budget'!$A$59:$A$69,0),MATCH(C239,'2025_budget'!$B$58:$M$58,0)),
2026,INDEX('2026_budget'!$B$59:$M$69,MATCH(E239,'2026_budget'!$A$59:$A$69,0),MATCH(C239,'2026_budget'!$B$58:$M$58,0))
)</f>
        <v>1364196.3</v>
      </c>
      <c r="G239" s="13" cm="1">
        <f t="array" ref="G239">_xlfn.SWITCH(B239,
2024,INDEX('2024_actual'!$B$59:$M$69,MATCH(E239,'2024_actual'!$A$59:$A$69,0),MATCH(C239,'2024_actual'!$B$58:$M$58,0)),
2025,INDEX('2025_actual'!$B$59:$M$69,MATCH(E239,'2025_actual'!$A$59:$A$69,0),MATCH(C239,'2025_actual'!$B$58:$M$58,0)),
2026,INDEX('2026_actual'!$B$59:$M$69,MATCH(E239,'2026_actual'!$A$59:$A$69,0),MATCH(C239,'2026_actual'!$B$58:$M$58,0))
)</f>
        <v>1363500</v>
      </c>
      <c r="H239" s="13">
        <f t="shared" si="56"/>
        <v>-696.30000000004657</v>
      </c>
      <c r="I239" s="10">
        <f t="shared" si="47"/>
        <v>-5.104104152753138E-4</v>
      </c>
      <c r="J239" s="6" t="str">
        <f t="shared" si="57"/>
        <v>F</v>
      </c>
    </row>
    <row r="240" spans="1:10" x14ac:dyDescent="0.35">
      <c r="A240" s="26">
        <v>46082</v>
      </c>
      <c r="B240">
        <v>2026</v>
      </c>
      <c r="C240" t="s">
        <v>25</v>
      </c>
      <c r="D240" t="s">
        <v>14</v>
      </c>
      <c r="E240" t="s">
        <v>67</v>
      </c>
      <c r="F240" s="13" cm="1">
        <f t="array" ref="F240">_xlfn.SWITCH(B240,
2024,INDEX('2024_budget'!$B$59:$M$69,MATCH(E240,'2024_budget'!$A$59:$A$69,0),MATCH(C240,'2024_budget'!$B$58:$M$58,0)),
2025,INDEX('2025_budget'!$B$59:$M$69,MATCH(E240,'2025_budget'!$A$59:$A$69,0),MATCH(C240,'2025_budget'!$B$58:$M$58,0)),
2026,INDEX('2026_budget'!$B$59:$M$69,MATCH(E240,'2026_budget'!$A$59:$A$69,0),MATCH(C240,'2026_budget'!$B$58:$M$58,0))
)</f>
        <v>283797.08333333331</v>
      </c>
      <c r="G240" s="13" cm="1">
        <f t="array" ref="G240">_xlfn.SWITCH(B240,
2024,INDEX('2024_actual'!$B$59:$M$69,MATCH(E240,'2024_actual'!$A$59:$A$69,0),MATCH(C240,'2024_actual'!$B$58:$M$58,0)),
2025,INDEX('2025_actual'!$B$59:$M$69,MATCH(E240,'2025_actual'!$A$59:$A$69,0),MATCH(C240,'2025_actual'!$B$58:$M$58,0)),
2026,INDEX('2026_actual'!$B$59:$M$69,MATCH(E240,'2026_actual'!$A$59:$A$69,0),MATCH(C240,'2026_actual'!$B$58:$M$58,0))
)</f>
        <v>280350</v>
      </c>
      <c r="H240" s="13">
        <f t="shared" si="56"/>
        <v>-3447.0833333333139</v>
      </c>
      <c r="I240" s="10">
        <f t="shared" si="47"/>
        <v>-1.2146295842246373E-2</v>
      </c>
      <c r="J240" s="6" t="str">
        <f t="shared" si="57"/>
        <v>F</v>
      </c>
    </row>
    <row r="241" spans="1:10" x14ac:dyDescent="0.35">
      <c r="A241" s="26">
        <v>46082</v>
      </c>
      <c r="B241">
        <v>2026</v>
      </c>
      <c r="C241" t="s">
        <v>25</v>
      </c>
      <c r="D241" t="s">
        <v>12</v>
      </c>
      <c r="E241" t="s">
        <v>68</v>
      </c>
      <c r="F241" s="13" cm="1">
        <f t="array" ref="F241">_xlfn.SWITCH(B241,
2024,INDEX('2024_budget'!$B$59:$M$69,MATCH(E241,'2024_budget'!$A$59:$A$69,0),MATCH(C241,'2024_budget'!$B$58:$M$58,0)),
2025,INDEX('2025_budget'!$B$59:$M$69,MATCH(E241,'2025_budget'!$A$59:$A$69,0),MATCH(C241,'2025_budget'!$B$58:$M$58,0)),
2026,INDEX('2026_budget'!$B$59:$M$69,MATCH(E241,'2026_budget'!$A$59:$A$69,0),MATCH(C241,'2026_budget'!$B$58:$M$58,0))
)</f>
        <v>339635.4</v>
      </c>
      <c r="G241" s="13" cm="1">
        <f t="array" ref="G241">_xlfn.SWITCH(B241,
2024,INDEX('2024_actual'!$B$59:$M$69,MATCH(E241,'2024_actual'!$A$59:$A$69,0),MATCH(C241,'2024_actual'!$B$58:$M$58,0)),
2025,INDEX('2025_actual'!$B$59:$M$69,MATCH(E241,'2025_actual'!$A$59:$A$69,0),MATCH(C241,'2025_actual'!$B$58:$M$58,0)),
2026,INDEX('2026_actual'!$B$59:$M$69,MATCH(E241,'2026_actual'!$A$59:$A$69,0),MATCH(C241,'2026_actual'!$B$58:$M$58,0))
)</f>
        <v>335600</v>
      </c>
      <c r="H241" s="13">
        <f t="shared" si="56"/>
        <v>-4035.4000000000233</v>
      </c>
      <c r="I241" s="10">
        <f t="shared" si="47"/>
        <v>-1.188156476032835E-2</v>
      </c>
      <c r="J241" s="6" t="str">
        <f t="shared" si="57"/>
        <v>F</v>
      </c>
    </row>
    <row r="242" spans="1:10" x14ac:dyDescent="0.35">
      <c r="A242" s="26">
        <v>46082</v>
      </c>
      <c r="B242">
        <v>2026</v>
      </c>
      <c r="C242" t="s">
        <v>25</v>
      </c>
      <c r="D242" t="s">
        <v>15</v>
      </c>
      <c r="E242" t="s">
        <v>69</v>
      </c>
      <c r="F242" s="13" cm="1">
        <f t="array" ref="F242">_xlfn.SWITCH(B242,
2024,INDEX('2024_budget'!$B$59:$M$69,MATCH(E242,'2024_budget'!$A$59:$A$69,0),MATCH(C242,'2024_budget'!$B$58:$M$58,0)),
2025,INDEX('2025_budget'!$B$59:$M$69,MATCH(E242,'2025_budget'!$A$59:$A$69,0),MATCH(C242,'2025_budget'!$B$58:$M$58,0)),
2026,INDEX('2026_budget'!$B$59:$M$69,MATCH(E242,'2026_budget'!$A$59:$A$69,0),MATCH(C242,'2026_budget'!$B$58:$M$58,0))
)</f>
        <v>358515.15</v>
      </c>
      <c r="G242" s="13" cm="1">
        <f t="array" ref="G242">_xlfn.SWITCH(B242,
2024,INDEX('2024_actual'!$B$59:$M$69,MATCH(E242,'2024_actual'!$A$59:$A$69,0),MATCH(C242,'2024_actual'!$B$58:$M$58,0)),
2025,INDEX('2025_actual'!$B$59:$M$69,MATCH(E242,'2025_actual'!$A$59:$A$69,0),MATCH(C242,'2025_actual'!$B$58:$M$58,0)),
2026,INDEX('2026_actual'!$B$59:$M$69,MATCH(E242,'2026_actual'!$A$59:$A$69,0),MATCH(C242,'2026_actual'!$B$58:$M$58,0))
)</f>
        <v>354850</v>
      </c>
      <c r="H242" s="13">
        <f t="shared" si="56"/>
        <v>-3665.1500000000233</v>
      </c>
      <c r="I242" s="10">
        <f t="shared" si="47"/>
        <v>-1.0223138408516413E-2</v>
      </c>
      <c r="J242" s="6" t="str">
        <f t="shared" si="57"/>
        <v>F</v>
      </c>
    </row>
    <row r="243" spans="1:10" x14ac:dyDescent="0.35">
      <c r="A243" s="26">
        <v>46082</v>
      </c>
      <c r="B243">
        <v>2026</v>
      </c>
      <c r="C243" t="s">
        <v>25</v>
      </c>
      <c r="D243" t="s">
        <v>146</v>
      </c>
      <c r="E243" t="s">
        <v>70</v>
      </c>
      <c r="F243" s="13" cm="1">
        <f t="array" ref="F243">_xlfn.SWITCH(B243,
2024,INDEX('2024_budget'!$B$59:$M$69,MATCH(E243,'2024_budget'!$A$59:$A$69,0),MATCH(C243,'2024_budget'!$B$58:$M$58,0)),
2025,INDEX('2025_budget'!$B$59:$M$69,MATCH(E243,'2025_budget'!$A$59:$A$69,0),MATCH(C243,'2025_budget'!$B$58:$M$58,0)),
2026,INDEX('2026_budget'!$B$59:$M$69,MATCH(E243,'2026_budget'!$A$59:$A$69,0),MATCH(C243,'2026_budget'!$B$58:$M$58,0))
)</f>
        <v>3714929.1333333333</v>
      </c>
      <c r="G243" s="13" cm="1">
        <f t="array" ref="G243">_xlfn.SWITCH(B243,
2024,INDEX('2024_actual'!$B$59:$M$69,MATCH(E243,'2024_actual'!$A$59:$A$69,0),MATCH(C243,'2024_actual'!$B$58:$M$58,0)),
2025,INDEX('2025_actual'!$B$59:$M$69,MATCH(E243,'2025_actual'!$A$59:$A$69,0),MATCH(C243,'2025_actual'!$B$58:$M$58,0)),
2026,INDEX('2026_actual'!$B$59:$M$69,MATCH(E243,'2026_actual'!$A$59:$A$69,0),MATCH(C243,'2026_actual'!$B$58:$M$58,0))
)</f>
        <v>3692100</v>
      </c>
      <c r="H243" s="13">
        <f t="shared" si="56"/>
        <v>-22829.133333333302</v>
      </c>
      <c r="I243" s="10">
        <f t="shared" si="47"/>
        <v>-6.1452405992060387E-3</v>
      </c>
      <c r="J243" s="6" t="str">
        <f t="shared" si="57"/>
        <v>F</v>
      </c>
    </row>
    <row r="244" spans="1:10" x14ac:dyDescent="0.35">
      <c r="A244" s="26">
        <v>46082</v>
      </c>
      <c r="B244">
        <v>2026</v>
      </c>
      <c r="C244" t="s">
        <v>25</v>
      </c>
      <c r="D244" t="s">
        <v>146</v>
      </c>
      <c r="E244" t="s">
        <v>71</v>
      </c>
      <c r="F244" s="13" cm="1">
        <f t="array" ref="F244">_xlfn.SWITCH(B244,
2024,INDEX('2024_budget'!$B$59:$M$69,MATCH(E244,'2024_budget'!$A$59:$A$69,0),MATCH(C244,'2024_budget'!$B$58:$M$58,0)),
2025,INDEX('2025_budget'!$B$59:$M$69,MATCH(E244,'2025_budget'!$A$59:$A$69,0),MATCH(C244,'2025_budget'!$B$58:$M$58,0)),
2026,INDEX('2026_budget'!$B$59:$M$69,MATCH(E244,'2026_budget'!$A$59:$A$69,0),MATCH(C244,'2026_budget'!$B$58:$M$58,0))
)</f>
        <v>517070.8666666667</v>
      </c>
      <c r="G244" s="13" cm="1">
        <f t="array" ref="G244">_xlfn.SWITCH(B244,
2024,INDEX('2024_actual'!$B$59:$M$69,MATCH(E244,'2024_actual'!$A$59:$A$69,0),MATCH(C244,'2024_actual'!$B$58:$M$58,0)),
2025,INDEX('2025_actual'!$B$59:$M$69,MATCH(E244,'2025_actual'!$A$59:$A$69,0),MATCH(C244,'2025_actual'!$B$58:$M$58,0)),
2026,INDEX('2026_actual'!$B$59:$M$69,MATCH(E244,'2026_actual'!$A$59:$A$69,0),MATCH(C244,'2026_actual'!$B$58:$M$58,0))
)</f>
        <v>487900</v>
      </c>
      <c r="H244" s="13">
        <f t="shared" si="56"/>
        <v>-29170.866666666698</v>
      </c>
      <c r="I244" s="10">
        <f t="shared" si="47"/>
        <v>-5.6415606732436348E-2</v>
      </c>
      <c r="J244" s="6" t="str">
        <f>IF(G244&gt;=F244,"F","U")</f>
        <v>U</v>
      </c>
    </row>
    <row r="245" spans="1:10" x14ac:dyDescent="0.35">
      <c r="A245" s="26">
        <v>46113</v>
      </c>
      <c r="B245">
        <v>2026</v>
      </c>
      <c r="C245" t="s">
        <v>26</v>
      </c>
      <c r="D245" t="s">
        <v>146</v>
      </c>
      <c r="E245" t="s">
        <v>6</v>
      </c>
      <c r="F245" s="13" cm="1">
        <f t="array" ref="F245">_xlfn.SWITCH(B245,
2024,INDEX('2024_budget'!$B$59:$M$69,MATCH(E245,'2024_budget'!$A$59:$A$69,0),MATCH(C245,'2024_budget'!$B$58:$M$58,0)),
2025,INDEX('2025_budget'!$B$59:$M$69,MATCH(E245,'2025_budget'!$A$59:$A$69,0),MATCH(C245,'2025_budget'!$B$58:$M$58,0)),
2026,INDEX('2026_budget'!$B$59:$M$69,MATCH(E245,'2026_budget'!$A$59:$A$69,0),MATCH(C245,'2026_budget'!$B$58:$M$58,0))
)</f>
        <v>4232000</v>
      </c>
      <c r="G245" s="13" cm="1">
        <f t="array" ref="G245">_xlfn.SWITCH(B245,
2024,INDEX('2024_actual'!$B$59:$M$69,MATCH(E245,'2024_actual'!$A$59:$A$69,0),MATCH(C245,'2024_actual'!$B$58:$M$58,0)),
2025,INDEX('2025_actual'!$B$59:$M$69,MATCH(E245,'2025_actual'!$A$59:$A$69,0),MATCH(C245,'2025_actual'!$B$58:$M$58,0)),
2026,INDEX('2026_actual'!$B$59:$M$69,MATCH(E245,'2026_actual'!$A$59:$A$69,0),MATCH(C245,'2026_actual'!$B$58:$M$58,0))
)</f>
        <v>4250000</v>
      </c>
      <c r="H245" s="13">
        <f>G245-F245</f>
        <v>18000</v>
      </c>
      <c r="I245" s="10">
        <f t="shared" si="47"/>
        <v>4.2533081285444233E-3</v>
      </c>
      <c r="J245" s="6" t="str">
        <f>IF(G245&gt;=F245,"F","U")</f>
        <v>F</v>
      </c>
    </row>
    <row r="246" spans="1:10" x14ac:dyDescent="0.35">
      <c r="A246" s="26">
        <v>46113</v>
      </c>
      <c r="B246">
        <v>2026</v>
      </c>
      <c r="C246" t="s">
        <v>26</v>
      </c>
      <c r="D246" t="s">
        <v>11</v>
      </c>
      <c r="E246" t="s">
        <v>64</v>
      </c>
      <c r="F246" s="13" cm="1">
        <f t="array" ref="F246">_xlfn.SWITCH(B246,
2024,INDEX('2024_budget'!$B$59:$M$69,MATCH(E246,'2024_budget'!$A$59:$A$69,0),MATCH(C246,'2024_budget'!$B$58:$M$58,0)),
2025,INDEX('2025_budget'!$B$59:$M$69,MATCH(E246,'2025_budget'!$A$59:$A$69,0),MATCH(C246,'2025_budget'!$B$58:$M$58,0)),
2026,INDEX('2026_budget'!$B$59:$M$69,MATCH(E246,'2026_budget'!$A$59:$A$69,0),MATCH(C246,'2026_budget'!$B$58:$M$58,0))
)</f>
        <v>861980</v>
      </c>
      <c r="G246" s="13" cm="1">
        <f t="array" ref="G246">_xlfn.SWITCH(B246,
2024,INDEX('2024_actual'!$B$59:$M$69,MATCH(E246,'2024_actual'!$A$59:$A$69,0),MATCH(C246,'2024_actual'!$B$58:$M$58,0)),
2025,INDEX('2025_actual'!$B$59:$M$69,MATCH(E246,'2025_actual'!$A$59:$A$69,0),MATCH(C246,'2025_actual'!$B$58:$M$58,0)),
2026,INDEX('2026_actual'!$B$59:$M$69,MATCH(E246,'2026_actual'!$A$59:$A$69,0),MATCH(C246,'2026_actual'!$B$58:$M$58,0))
)</f>
        <v>856000</v>
      </c>
      <c r="H246" s="13">
        <f t="shared" ref="H246:H253" si="58">G246-F246</f>
        <v>-5980</v>
      </c>
      <c r="I246" s="10">
        <f t="shared" si="47"/>
        <v>-6.9375159516462098E-3</v>
      </c>
      <c r="J246" s="6" t="str">
        <f>IF(G246&lt;=F246,"F","U")</f>
        <v>F</v>
      </c>
    </row>
    <row r="247" spans="1:10" x14ac:dyDescent="0.35">
      <c r="A247" s="26">
        <v>46113</v>
      </c>
      <c r="B247">
        <v>2026</v>
      </c>
      <c r="C247" t="s">
        <v>26</v>
      </c>
      <c r="D247" t="s">
        <v>13</v>
      </c>
      <c r="E247" t="s">
        <v>65</v>
      </c>
      <c r="F247" s="13" cm="1">
        <f t="array" ref="F247">_xlfn.SWITCH(B247,
2024,INDEX('2024_budget'!$B$59:$M$69,MATCH(E247,'2024_budget'!$A$59:$A$69,0),MATCH(C247,'2024_budget'!$B$58:$M$58,0)),
2025,INDEX('2025_budget'!$B$59:$M$69,MATCH(E247,'2025_budget'!$A$59:$A$69,0),MATCH(C247,'2025_budget'!$B$58:$M$58,0)),
2026,INDEX('2026_budget'!$B$59:$M$69,MATCH(E247,'2026_budget'!$A$59:$A$69,0),MATCH(C247,'2026_budget'!$B$58:$M$58,0))
)</f>
        <v>506805.2</v>
      </c>
      <c r="G247" s="13" cm="1">
        <f t="array" ref="G247">_xlfn.SWITCH(B247,
2024,INDEX('2024_actual'!$B$59:$M$69,MATCH(E247,'2024_actual'!$A$59:$A$69,0),MATCH(C247,'2024_actual'!$B$58:$M$58,0)),
2025,INDEX('2025_actual'!$B$59:$M$69,MATCH(E247,'2025_actual'!$A$59:$A$69,0),MATCH(C247,'2025_actual'!$B$58:$M$58,0)),
2026,INDEX('2026_actual'!$B$59:$M$69,MATCH(E247,'2026_actual'!$A$59:$A$69,0),MATCH(C247,'2026_actual'!$B$58:$M$58,0))
)</f>
        <v>509800</v>
      </c>
      <c r="H247" s="13">
        <f t="shared" si="58"/>
        <v>2994.7999999999884</v>
      </c>
      <c r="I247" s="10">
        <f t="shared" si="47"/>
        <v>5.9091737811687575E-3</v>
      </c>
      <c r="J247" s="6" t="str">
        <f t="shared" ref="J247:J252" si="59">IF(G247&lt;=F247,"F","U")</f>
        <v>U</v>
      </c>
    </row>
    <row r="248" spans="1:10" x14ac:dyDescent="0.35">
      <c r="A248" s="26">
        <v>46113</v>
      </c>
      <c r="B248">
        <v>2026</v>
      </c>
      <c r="C248" t="s">
        <v>26</v>
      </c>
      <c r="D248" t="s">
        <v>10</v>
      </c>
      <c r="E248" t="s">
        <v>66</v>
      </c>
      <c r="F248" s="13" cm="1">
        <f t="array" ref="F248">_xlfn.SWITCH(B248,
2024,INDEX('2024_budget'!$B$59:$M$69,MATCH(E248,'2024_budget'!$A$59:$A$69,0),MATCH(C248,'2024_budget'!$B$58:$M$58,0)),
2025,INDEX('2025_budget'!$B$59:$M$69,MATCH(E248,'2025_budget'!$A$59:$A$69,0),MATCH(C248,'2025_budget'!$B$58:$M$58,0)),
2026,INDEX('2026_budget'!$B$59:$M$69,MATCH(E248,'2026_budget'!$A$59:$A$69,0),MATCH(C248,'2026_budget'!$B$58:$M$58,0))
)</f>
        <v>1364196.3</v>
      </c>
      <c r="G248" s="13" cm="1">
        <f t="array" ref="G248">_xlfn.SWITCH(B248,
2024,INDEX('2024_actual'!$B$59:$M$69,MATCH(E248,'2024_actual'!$A$59:$A$69,0),MATCH(C248,'2024_actual'!$B$58:$M$58,0)),
2025,INDEX('2025_actual'!$B$59:$M$69,MATCH(E248,'2025_actual'!$A$59:$A$69,0),MATCH(C248,'2025_actual'!$B$58:$M$58,0)),
2026,INDEX('2026_actual'!$B$59:$M$69,MATCH(E248,'2026_actual'!$A$59:$A$69,0),MATCH(C248,'2026_actual'!$B$58:$M$58,0))
)</f>
        <v>1368500</v>
      </c>
      <c r="H248" s="13">
        <f t="shared" si="58"/>
        <v>4303.6999999999534</v>
      </c>
      <c r="I248" s="10">
        <f t="shared" si="47"/>
        <v>3.1547512627031413E-3</v>
      </c>
      <c r="J248" s="6" t="str">
        <f t="shared" si="59"/>
        <v>U</v>
      </c>
    </row>
    <row r="249" spans="1:10" x14ac:dyDescent="0.35">
      <c r="A249" s="26">
        <v>46113</v>
      </c>
      <c r="B249">
        <v>2026</v>
      </c>
      <c r="C249" t="s">
        <v>26</v>
      </c>
      <c r="D249" t="s">
        <v>14</v>
      </c>
      <c r="E249" t="s">
        <v>67</v>
      </c>
      <c r="F249" s="13" cm="1">
        <f t="array" ref="F249">_xlfn.SWITCH(B249,
2024,INDEX('2024_budget'!$B$59:$M$69,MATCH(E249,'2024_budget'!$A$59:$A$69,0),MATCH(C249,'2024_budget'!$B$58:$M$58,0)),
2025,INDEX('2025_budget'!$B$59:$M$69,MATCH(E249,'2025_budget'!$A$59:$A$69,0),MATCH(C249,'2025_budget'!$B$58:$M$58,0)),
2026,INDEX('2026_budget'!$B$59:$M$69,MATCH(E249,'2026_budget'!$A$59:$A$69,0),MATCH(C249,'2026_budget'!$B$58:$M$58,0))
)</f>
        <v>283797.08333333331</v>
      </c>
      <c r="G249" s="13" cm="1">
        <f t="array" ref="G249">_xlfn.SWITCH(B249,
2024,INDEX('2024_actual'!$B$59:$M$69,MATCH(E249,'2024_actual'!$A$59:$A$69,0),MATCH(C249,'2024_actual'!$B$58:$M$58,0)),
2025,INDEX('2025_actual'!$B$59:$M$69,MATCH(E249,'2025_actual'!$A$59:$A$69,0),MATCH(C249,'2025_actual'!$B$58:$M$58,0)),
2026,INDEX('2026_actual'!$B$59:$M$69,MATCH(E249,'2026_actual'!$A$59:$A$69,0),MATCH(C249,'2026_actual'!$B$58:$M$58,0))
)</f>
        <v>280350</v>
      </c>
      <c r="H249" s="13">
        <f t="shared" si="58"/>
        <v>-3447.0833333333139</v>
      </c>
      <c r="I249" s="10">
        <f t="shared" si="47"/>
        <v>-1.2146295842246373E-2</v>
      </c>
      <c r="J249" s="6" t="str">
        <f t="shared" si="59"/>
        <v>F</v>
      </c>
    </row>
    <row r="250" spans="1:10" x14ac:dyDescent="0.35">
      <c r="A250" s="26">
        <v>46113</v>
      </c>
      <c r="B250">
        <v>2026</v>
      </c>
      <c r="C250" t="s">
        <v>26</v>
      </c>
      <c r="D250" t="s">
        <v>12</v>
      </c>
      <c r="E250" t="s">
        <v>68</v>
      </c>
      <c r="F250" s="13" cm="1">
        <f t="array" ref="F250">_xlfn.SWITCH(B250,
2024,INDEX('2024_budget'!$B$59:$M$69,MATCH(E250,'2024_budget'!$A$59:$A$69,0),MATCH(C250,'2024_budget'!$B$58:$M$58,0)),
2025,INDEX('2025_budget'!$B$59:$M$69,MATCH(E250,'2025_budget'!$A$59:$A$69,0),MATCH(C250,'2025_budget'!$B$58:$M$58,0)),
2026,INDEX('2026_budget'!$B$59:$M$69,MATCH(E250,'2026_budget'!$A$59:$A$69,0),MATCH(C250,'2026_budget'!$B$58:$M$58,0))
)</f>
        <v>339635.4</v>
      </c>
      <c r="G250" s="13" cm="1">
        <f t="array" ref="G250">_xlfn.SWITCH(B250,
2024,INDEX('2024_actual'!$B$59:$M$69,MATCH(E250,'2024_actual'!$A$59:$A$69,0),MATCH(C250,'2024_actual'!$B$58:$M$58,0)),
2025,INDEX('2025_actual'!$B$59:$M$69,MATCH(E250,'2025_actual'!$A$59:$A$69,0),MATCH(C250,'2025_actual'!$B$58:$M$58,0)),
2026,INDEX('2026_actual'!$B$59:$M$69,MATCH(E250,'2026_actual'!$A$59:$A$69,0),MATCH(C250,'2026_actual'!$B$58:$M$58,0))
)</f>
        <v>336100</v>
      </c>
      <c r="H250" s="13">
        <f t="shared" si="58"/>
        <v>-3535.4000000000233</v>
      </c>
      <c r="I250" s="10">
        <f t="shared" si="47"/>
        <v>-1.0409397842510007E-2</v>
      </c>
      <c r="J250" s="6" t="str">
        <f t="shared" si="59"/>
        <v>F</v>
      </c>
    </row>
    <row r="251" spans="1:10" x14ac:dyDescent="0.35">
      <c r="A251" s="26">
        <v>46113</v>
      </c>
      <c r="B251">
        <v>2026</v>
      </c>
      <c r="C251" t="s">
        <v>26</v>
      </c>
      <c r="D251" t="s">
        <v>15</v>
      </c>
      <c r="E251" t="s">
        <v>69</v>
      </c>
      <c r="F251" s="13" cm="1">
        <f t="array" ref="F251">_xlfn.SWITCH(B251,
2024,INDEX('2024_budget'!$B$59:$M$69,MATCH(E251,'2024_budget'!$A$59:$A$69,0),MATCH(C251,'2024_budget'!$B$58:$M$58,0)),
2025,INDEX('2025_budget'!$B$59:$M$69,MATCH(E251,'2025_budget'!$A$59:$A$69,0),MATCH(C251,'2025_budget'!$B$58:$M$58,0)),
2026,INDEX('2026_budget'!$B$59:$M$69,MATCH(E251,'2026_budget'!$A$59:$A$69,0),MATCH(C251,'2026_budget'!$B$58:$M$58,0))
)</f>
        <v>358515.15</v>
      </c>
      <c r="G251" s="13" cm="1">
        <f t="array" ref="G251">_xlfn.SWITCH(B251,
2024,INDEX('2024_actual'!$B$59:$M$69,MATCH(E251,'2024_actual'!$A$59:$A$69,0),MATCH(C251,'2024_actual'!$B$58:$M$58,0)),
2025,INDEX('2025_actual'!$B$59:$M$69,MATCH(E251,'2025_actual'!$A$59:$A$69,0),MATCH(C251,'2025_actual'!$B$58:$M$58,0)),
2026,INDEX('2026_actual'!$B$59:$M$69,MATCH(E251,'2026_actual'!$A$59:$A$69,0),MATCH(C251,'2026_actual'!$B$58:$M$58,0))
)</f>
        <v>354850</v>
      </c>
      <c r="H251" s="13">
        <f t="shared" si="58"/>
        <v>-3665.1500000000233</v>
      </c>
      <c r="I251" s="10">
        <f t="shared" si="47"/>
        <v>-1.0223138408516413E-2</v>
      </c>
      <c r="J251" s="6" t="str">
        <f t="shared" si="59"/>
        <v>F</v>
      </c>
    </row>
    <row r="252" spans="1:10" x14ac:dyDescent="0.35">
      <c r="A252" s="26">
        <v>46113</v>
      </c>
      <c r="B252">
        <v>2026</v>
      </c>
      <c r="C252" t="s">
        <v>26</v>
      </c>
      <c r="D252" t="s">
        <v>146</v>
      </c>
      <c r="E252" t="s">
        <v>70</v>
      </c>
      <c r="F252" s="13" cm="1">
        <f t="array" ref="F252">_xlfn.SWITCH(B252,
2024,INDEX('2024_budget'!$B$59:$M$69,MATCH(E252,'2024_budget'!$A$59:$A$69,0),MATCH(C252,'2024_budget'!$B$58:$M$58,0)),
2025,INDEX('2025_budget'!$B$59:$M$69,MATCH(E252,'2025_budget'!$A$59:$A$69,0),MATCH(C252,'2025_budget'!$B$58:$M$58,0)),
2026,INDEX('2026_budget'!$B$59:$M$69,MATCH(E252,'2026_budget'!$A$59:$A$69,0),MATCH(C252,'2026_budget'!$B$58:$M$58,0))
)</f>
        <v>3714929.1333333333</v>
      </c>
      <c r="G252" s="13" cm="1">
        <f t="array" ref="G252">_xlfn.SWITCH(B252,
2024,INDEX('2024_actual'!$B$59:$M$69,MATCH(E252,'2024_actual'!$A$59:$A$69,0),MATCH(C252,'2024_actual'!$B$58:$M$58,0)),
2025,INDEX('2025_actual'!$B$59:$M$69,MATCH(E252,'2025_actual'!$A$59:$A$69,0),MATCH(C252,'2025_actual'!$B$58:$M$58,0)),
2026,INDEX('2026_actual'!$B$59:$M$69,MATCH(E252,'2026_actual'!$A$59:$A$69,0),MATCH(C252,'2026_actual'!$B$58:$M$58,0))
)</f>
        <v>3705600</v>
      </c>
      <c r="H252" s="13">
        <f t="shared" si="58"/>
        <v>-9329.1333333333023</v>
      </c>
      <c r="I252" s="10">
        <f t="shared" si="47"/>
        <v>-2.5112547234413737E-3</v>
      </c>
      <c r="J252" s="6" t="str">
        <f t="shared" si="59"/>
        <v>F</v>
      </c>
    </row>
    <row r="253" spans="1:10" x14ac:dyDescent="0.35">
      <c r="A253" s="26">
        <v>46113</v>
      </c>
      <c r="B253">
        <v>2026</v>
      </c>
      <c r="C253" t="s">
        <v>26</v>
      </c>
      <c r="D253" t="s">
        <v>146</v>
      </c>
      <c r="E253" t="s">
        <v>71</v>
      </c>
      <c r="F253" s="13" cm="1">
        <f t="array" ref="F253">_xlfn.SWITCH(B253,
2024,INDEX('2024_budget'!$B$59:$M$69,MATCH(E253,'2024_budget'!$A$59:$A$69,0),MATCH(C253,'2024_budget'!$B$58:$M$58,0)),
2025,INDEX('2025_budget'!$B$59:$M$69,MATCH(E253,'2025_budget'!$A$59:$A$69,0),MATCH(C253,'2025_budget'!$B$58:$M$58,0)),
2026,INDEX('2026_budget'!$B$59:$M$69,MATCH(E253,'2026_budget'!$A$59:$A$69,0),MATCH(C253,'2026_budget'!$B$58:$M$58,0))
)</f>
        <v>517070.8666666667</v>
      </c>
      <c r="G253" s="13" cm="1">
        <f t="array" ref="G253">_xlfn.SWITCH(B253,
2024,INDEX('2024_actual'!$B$59:$M$69,MATCH(E253,'2024_actual'!$A$59:$A$69,0),MATCH(C253,'2024_actual'!$B$58:$M$58,0)),
2025,INDEX('2025_actual'!$B$59:$M$69,MATCH(E253,'2025_actual'!$A$59:$A$69,0),MATCH(C253,'2025_actual'!$B$58:$M$58,0)),
2026,INDEX('2026_actual'!$B$59:$M$69,MATCH(E253,'2026_actual'!$A$59:$A$69,0),MATCH(C253,'2026_actual'!$B$58:$M$58,0))
)</f>
        <v>544400</v>
      </c>
      <c r="H253" s="13">
        <f t="shared" si="58"/>
        <v>27329.133333333302</v>
      </c>
      <c r="I253" s="10">
        <f t="shared" si="47"/>
        <v>5.2853748093588143E-2</v>
      </c>
      <c r="J253" s="6" t="str">
        <f>IF(G253&gt;=F253,"F","U")</f>
        <v>F</v>
      </c>
    </row>
    <row r="254" spans="1:10" x14ac:dyDescent="0.35">
      <c r="A254" s="26">
        <v>46143</v>
      </c>
      <c r="B254">
        <v>2026</v>
      </c>
      <c r="C254" t="s">
        <v>27</v>
      </c>
      <c r="D254" t="s">
        <v>146</v>
      </c>
      <c r="E254" t="s">
        <v>6</v>
      </c>
      <c r="F254" s="13" cm="1">
        <f t="array" ref="F254">_xlfn.SWITCH(B254,
2024,INDEX('2024_budget'!$B$59:$M$69,MATCH(E254,'2024_budget'!$A$59:$A$69,0),MATCH(C254,'2024_budget'!$B$58:$M$58,0)),
2025,INDEX('2025_budget'!$B$59:$M$69,MATCH(E254,'2025_budget'!$A$59:$A$69,0),MATCH(C254,'2025_budget'!$B$58:$M$58,0)),
2026,INDEX('2026_budget'!$B$59:$M$69,MATCH(E254,'2026_budget'!$A$59:$A$69,0),MATCH(C254,'2026_budget'!$B$58:$M$58,0))
)</f>
        <v>4232000</v>
      </c>
      <c r="G254" s="13" cm="1">
        <f t="array" ref="G254">_xlfn.SWITCH(B254,
2024,INDEX('2024_actual'!$B$59:$M$69,MATCH(E254,'2024_actual'!$A$59:$A$69,0),MATCH(C254,'2024_actual'!$B$58:$M$58,0)),
2025,INDEX('2025_actual'!$B$59:$M$69,MATCH(E254,'2025_actual'!$A$59:$A$69,0),MATCH(C254,'2025_actual'!$B$58:$M$58,0)),
2026,INDEX('2026_actual'!$B$59:$M$69,MATCH(E254,'2026_actual'!$A$59:$A$69,0),MATCH(C254,'2026_actual'!$B$58:$M$58,0))
)</f>
        <v>4300000</v>
      </c>
      <c r="H254" s="13">
        <f>G254-F254</f>
        <v>68000</v>
      </c>
      <c r="I254" s="10">
        <f t="shared" si="47"/>
        <v>1.6068052930056712E-2</v>
      </c>
      <c r="J254" s="6" t="str">
        <f>IF(G254&gt;=F254,"F","U")</f>
        <v>F</v>
      </c>
    </row>
    <row r="255" spans="1:10" x14ac:dyDescent="0.35">
      <c r="A255" s="26">
        <v>46143</v>
      </c>
      <c r="B255">
        <v>2026</v>
      </c>
      <c r="C255" t="s">
        <v>27</v>
      </c>
      <c r="D255" t="s">
        <v>11</v>
      </c>
      <c r="E255" t="s">
        <v>64</v>
      </c>
      <c r="F255" s="13" cm="1">
        <f t="array" ref="F255">_xlfn.SWITCH(B255,
2024,INDEX('2024_budget'!$B$59:$M$69,MATCH(E255,'2024_budget'!$A$59:$A$69,0),MATCH(C255,'2024_budget'!$B$58:$M$58,0)),
2025,INDEX('2025_budget'!$B$59:$M$69,MATCH(E255,'2025_budget'!$A$59:$A$69,0),MATCH(C255,'2025_budget'!$B$58:$M$58,0)),
2026,INDEX('2026_budget'!$B$59:$M$69,MATCH(E255,'2026_budget'!$A$59:$A$69,0),MATCH(C255,'2026_budget'!$B$58:$M$58,0))
)</f>
        <v>861980</v>
      </c>
      <c r="G255" s="13" cm="1">
        <f t="array" ref="G255">_xlfn.SWITCH(B255,
2024,INDEX('2024_actual'!$B$59:$M$69,MATCH(E255,'2024_actual'!$A$59:$A$69,0),MATCH(C255,'2024_actual'!$B$58:$M$58,0)),
2025,INDEX('2025_actual'!$B$59:$M$69,MATCH(E255,'2025_actual'!$A$59:$A$69,0),MATCH(C255,'2025_actual'!$B$58:$M$58,0)),
2026,INDEX('2026_actual'!$B$59:$M$69,MATCH(E255,'2026_actual'!$A$59:$A$69,0),MATCH(C255,'2026_actual'!$B$58:$M$58,0))
)</f>
        <v>865000</v>
      </c>
      <c r="H255" s="13">
        <f t="shared" ref="H255:H262" si="60">G255-F255</f>
        <v>3020</v>
      </c>
      <c r="I255" s="10">
        <f t="shared" si="47"/>
        <v>3.5035615675537714E-3</v>
      </c>
      <c r="J255" s="6" t="str">
        <f>IF(G255&lt;=F255,"F","U")</f>
        <v>U</v>
      </c>
    </row>
    <row r="256" spans="1:10" x14ac:dyDescent="0.35">
      <c r="A256" s="26">
        <v>46143</v>
      </c>
      <c r="B256">
        <v>2026</v>
      </c>
      <c r="C256" t="s">
        <v>27</v>
      </c>
      <c r="D256" t="s">
        <v>13</v>
      </c>
      <c r="E256" t="s">
        <v>65</v>
      </c>
      <c r="F256" s="13" cm="1">
        <f t="array" ref="F256">_xlfn.SWITCH(B256,
2024,INDEX('2024_budget'!$B$59:$M$69,MATCH(E256,'2024_budget'!$A$59:$A$69,0),MATCH(C256,'2024_budget'!$B$58:$M$58,0)),
2025,INDEX('2025_budget'!$B$59:$M$69,MATCH(E256,'2025_budget'!$A$59:$A$69,0),MATCH(C256,'2025_budget'!$B$58:$M$58,0)),
2026,INDEX('2026_budget'!$B$59:$M$69,MATCH(E256,'2026_budget'!$A$59:$A$69,0),MATCH(C256,'2026_budget'!$B$58:$M$58,0))
)</f>
        <v>506805.2</v>
      </c>
      <c r="G256" s="13" cm="1">
        <f t="array" ref="G256">_xlfn.SWITCH(B256,
2024,INDEX('2024_actual'!$B$59:$M$69,MATCH(E256,'2024_actual'!$A$59:$A$69,0),MATCH(C256,'2024_actual'!$B$58:$M$58,0)),
2025,INDEX('2025_actual'!$B$59:$M$69,MATCH(E256,'2025_actual'!$A$59:$A$69,0),MATCH(C256,'2025_actual'!$B$58:$M$58,0)),
2026,INDEX('2026_actual'!$B$59:$M$69,MATCH(E256,'2026_actual'!$A$59:$A$69,0),MATCH(C256,'2026_actual'!$B$58:$M$58,0))
)</f>
        <v>516000</v>
      </c>
      <c r="H256" s="13">
        <f t="shared" si="60"/>
        <v>9194.7999999999884</v>
      </c>
      <c r="I256" s="10">
        <f t="shared" si="47"/>
        <v>1.8142670990747508E-2</v>
      </c>
      <c r="J256" s="6" t="str">
        <f t="shared" ref="J256:J261" si="61">IF(G256&lt;=F256,"F","U")</f>
        <v>U</v>
      </c>
    </row>
    <row r="257" spans="1:10" x14ac:dyDescent="0.35">
      <c r="A257" s="26">
        <v>46143</v>
      </c>
      <c r="B257">
        <v>2026</v>
      </c>
      <c r="C257" t="s">
        <v>27</v>
      </c>
      <c r="D257" t="s">
        <v>10</v>
      </c>
      <c r="E257" t="s">
        <v>66</v>
      </c>
      <c r="F257" s="13" cm="1">
        <f t="array" ref="F257">_xlfn.SWITCH(B257,
2024,INDEX('2024_budget'!$B$59:$M$69,MATCH(E257,'2024_budget'!$A$59:$A$69,0),MATCH(C257,'2024_budget'!$B$58:$M$58,0)),
2025,INDEX('2025_budget'!$B$59:$M$69,MATCH(E257,'2025_budget'!$A$59:$A$69,0),MATCH(C257,'2025_budget'!$B$58:$M$58,0)),
2026,INDEX('2026_budget'!$B$59:$M$69,MATCH(E257,'2026_budget'!$A$59:$A$69,0),MATCH(C257,'2026_budget'!$B$58:$M$58,0))
)</f>
        <v>1364196.3</v>
      </c>
      <c r="G257" s="13" cm="1">
        <f t="array" ref="G257">_xlfn.SWITCH(B257,
2024,INDEX('2024_actual'!$B$59:$M$69,MATCH(E257,'2024_actual'!$A$59:$A$69,0),MATCH(C257,'2024_actual'!$B$58:$M$58,0)),
2025,INDEX('2025_actual'!$B$59:$M$69,MATCH(E257,'2025_actual'!$A$59:$A$69,0),MATCH(C257,'2025_actual'!$B$58:$M$58,0)),
2026,INDEX('2026_actual'!$B$59:$M$69,MATCH(E257,'2026_actual'!$A$59:$A$69,0),MATCH(C257,'2026_actual'!$B$58:$M$58,0))
)</f>
        <v>1379500</v>
      </c>
      <c r="H257" s="13">
        <f t="shared" si="60"/>
        <v>15303.699999999953</v>
      </c>
      <c r="I257" s="10">
        <f t="shared" si="47"/>
        <v>1.1218106954255742E-2</v>
      </c>
      <c r="J257" s="6" t="str">
        <f t="shared" si="61"/>
        <v>U</v>
      </c>
    </row>
    <row r="258" spans="1:10" x14ac:dyDescent="0.35">
      <c r="A258" s="26">
        <v>46143</v>
      </c>
      <c r="B258">
        <v>2026</v>
      </c>
      <c r="C258" t="s">
        <v>27</v>
      </c>
      <c r="D258" t="s">
        <v>14</v>
      </c>
      <c r="E258" t="s">
        <v>67</v>
      </c>
      <c r="F258" s="13" cm="1">
        <f t="array" ref="F258">_xlfn.SWITCH(B258,
2024,INDEX('2024_budget'!$B$59:$M$69,MATCH(E258,'2024_budget'!$A$59:$A$69,0),MATCH(C258,'2024_budget'!$B$58:$M$58,0)),
2025,INDEX('2025_budget'!$B$59:$M$69,MATCH(E258,'2025_budget'!$A$59:$A$69,0),MATCH(C258,'2025_budget'!$B$58:$M$58,0)),
2026,INDEX('2026_budget'!$B$59:$M$69,MATCH(E258,'2026_budget'!$A$59:$A$69,0),MATCH(C258,'2026_budget'!$B$58:$M$58,0))
)</f>
        <v>283797.08333333331</v>
      </c>
      <c r="G258" s="13" cm="1">
        <f t="array" ref="G258">_xlfn.SWITCH(B258,
2024,INDEX('2024_actual'!$B$59:$M$69,MATCH(E258,'2024_actual'!$A$59:$A$69,0),MATCH(C258,'2024_actual'!$B$58:$M$58,0)),
2025,INDEX('2025_actual'!$B$59:$M$69,MATCH(E258,'2025_actual'!$A$59:$A$69,0),MATCH(C258,'2025_actual'!$B$58:$M$58,0)),
2026,INDEX('2026_actual'!$B$59:$M$69,MATCH(E258,'2026_actual'!$A$59:$A$69,0),MATCH(C258,'2026_actual'!$B$58:$M$58,0))
)</f>
        <v>282550</v>
      </c>
      <c r="H258" s="13">
        <f t="shared" si="60"/>
        <v>-1247.0833333333139</v>
      </c>
      <c r="I258" s="10">
        <f t="shared" si="47"/>
        <v>-4.3942781887879893E-3</v>
      </c>
      <c r="J258" s="6" t="str">
        <f t="shared" si="61"/>
        <v>F</v>
      </c>
    </row>
    <row r="259" spans="1:10" x14ac:dyDescent="0.35">
      <c r="A259" s="26">
        <v>46143</v>
      </c>
      <c r="B259">
        <v>2026</v>
      </c>
      <c r="C259" t="s">
        <v>27</v>
      </c>
      <c r="D259" t="s">
        <v>12</v>
      </c>
      <c r="E259" t="s">
        <v>68</v>
      </c>
      <c r="F259" s="13" cm="1">
        <f t="array" ref="F259">_xlfn.SWITCH(B259,
2024,INDEX('2024_budget'!$B$59:$M$69,MATCH(E259,'2024_budget'!$A$59:$A$69,0),MATCH(C259,'2024_budget'!$B$58:$M$58,0)),
2025,INDEX('2025_budget'!$B$59:$M$69,MATCH(E259,'2025_budget'!$A$59:$A$69,0),MATCH(C259,'2025_budget'!$B$58:$M$58,0)),
2026,INDEX('2026_budget'!$B$59:$M$69,MATCH(E259,'2026_budget'!$A$59:$A$69,0),MATCH(C259,'2026_budget'!$B$58:$M$58,0))
)</f>
        <v>339635.4</v>
      </c>
      <c r="G259" s="13" cm="1">
        <f t="array" ref="G259">_xlfn.SWITCH(B259,
2024,INDEX('2024_actual'!$B$59:$M$69,MATCH(E259,'2024_actual'!$A$59:$A$69,0),MATCH(C259,'2024_actual'!$B$58:$M$58,0)),
2025,INDEX('2025_actual'!$B$59:$M$69,MATCH(E259,'2025_actual'!$A$59:$A$69,0),MATCH(C259,'2025_actual'!$B$58:$M$58,0)),
2026,INDEX('2026_actual'!$B$59:$M$69,MATCH(E259,'2026_actual'!$A$59:$A$69,0),MATCH(C259,'2026_actual'!$B$58:$M$58,0))
)</f>
        <v>337300</v>
      </c>
      <c r="H259" s="13">
        <f t="shared" si="60"/>
        <v>-2335.4000000000233</v>
      </c>
      <c r="I259" s="10">
        <f t="shared" ref="I259:I322" si="62">IF(AND(E259="Operating Profit",F259&lt;=0),NA(),IFERROR(H259/F259,0))</f>
        <v>-6.876197239745984E-3</v>
      </c>
      <c r="J259" s="6" t="str">
        <f t="shared" si="61"/>
        <v>F</v>
      </c>
    </row>
    <row r="260" spans="1:10" x14ac:dyDescent="0.35">
      <c r="A260" s="26">
        <v>46143</v>
      </c>
      <c r="B260">
        <v>2026</v>
      </c>
      <c r="C260" t="s">
        <v>27</v>
      </c>
      <c r="D260" t="s">
        <v>15</v>
      </c>
      <c r="E260" t="s">
        <v>69</v>
      </c>
      <c r="F260" s="13" cm="1">
        <f t="array" ref="F260">_xlfn.SWITCH(B260,
2024,INDEX('2024_budget'!$B$59:$M$69,MATCH(E260,'2024_budget'!$A$59:$A$69,0),MATCH(C260,'2024_budget'!$B$58:$M$58,0)),
2025,INDEX('2025_budget'!$B$59:$M$69,MATCH(E260,'2025_budget'!$A$59:$A$69,0),MATCH(C260,'2025_budget'!$B$58:$M$58,0)),
2026,INDEX('2026_budget'!$B$59:$M$69,MATCH(E260,'2026_budget'!$A$59:$A$69,0),MATCH(C260,'2026_budget'!$B$58:$M$58,0))
)</f>
        <v>358515.15</v>
      </c>
      <c r="G260" s="13" cm="1">
        <f t="array" ref="G260">_xlfn.SWITCH(B260,
2024,INDEX('2024_actual'!$B$59:$M$69,MATCH(E260,'2024_actual'!$A$59:$A$69,0),MATCH(C260,'2024_actual'!$B$58:$M$58,0)),
2025,INDEX('2025_actual'!$B$59:$M$69,MATCH(E260,'2025_actual'!$A$59:$A$69,0),MATCH(C260,'2025_actual'!$B$58:$M$58,0)),
2026,INDEX('2026_actual'!$B$59:$M$69,MATCH(E260,'2026_actual'!$A$59:$A$69,0),MATCH(C260,'2026_actual'!$B$58:$M$58,0))
)</f>
        <v>357050</v>
      </c>
      <c r="H260" s="13">
        <f t="shared" si="60"/>
        <v>-1465.1500000000233</v>
      </c>
      <c r="I260" s="10">
        <f t="shared" si="62"/>
        <v>-4.0867171164175996E-3</v>
      </c>
      <c r="J260" s="6" t="str">
        <f t="shared" si="61"/>
        <v>F</v>
      </c>
    </row>
    <row r="261" spans="1:10" x14ac:dyDescent="0.35">
      <c r="A261" s="26">
        <v>46143</v>
      </c>
      <c r="B261">
        <v>2026</v>
      </c>
      <c r="C261" t="s">
        <v>27</v>
      </c>
      <c r="D261" t="s">
        <v>146</v>
      </c>
      <c r="E261" t="s">
        <v>70</v>
      </c>
      <c r="F261" s="13" cm="1">
        <f t="array" ref="F261">_xlfn.SWITCH(B261,
2024,INDEX('2024_budget'!$B$59:$M$69,MATCH(E261,'2024_budget'!$A$59:$A$69,0),MATCH(C261,'2024_budget'!$B$58:$M$58,0)),
2025,INDEX('2025_budget'!$B$59:$M$69,MATCH(E261,'2025_budget'!$A$59:$A$69,0),MATCH(C261,'2025_budget'!$B$58:$M$58,0)),
2026,INDEX('2026_budget'!$B$59:$M$69,MATCH(E261,'2026_budget'!$A$59:$A$69,0),MATCH(C261,'2026_budget'!$B$58:$M$58,0))
)</f>
        <v>3714929.1333333333</v>
      </c>
      <c r="G261" s="13" cm="1">
        <f t="array" ref="G261">_xlfn.SWITCH(B261,
2024,INDEX('2024_actual'!$B$59:$M$69,MATCH(E261,'2024_actual'!$A$59:$A$69,0),MATCH(C261,'2024_actual'!$B$58:$M$58,0)),
2025,INDEX('2025_actual'!$B$59:$M$69,MATCH(E261,'2025_actual'!$A$59:$A$69,0),MATCH(C261,'2025_actual'!$B$58:$M$58,0)),
2026,INDEX('2026_actual'!$B$59:$M$69,MATCH(E261,'2026_actual'!$A$59:$A$69,0),MATCH(C261,'2026_actual'!$B$58:$M$58,0))
)</f>
        <v>3737400</v>
      </c>
      <c r="H261" s="13">
        <f t="shared" si="60"/>
        <v>22470.866666666698</v>
      </c>
      <c r="I261" s="10">
        <f t="shared" si="62"/>
        <v>6.0488008950265034E-3</v>
      </c>
      <c r="J261" s="6" t="str">
        <f t="shared" si="61"/>
        <v>U</v>
      </c>
    </row>
    <row r="262" spans="1:10" x14ac:dyDescent="0.35">
      <c r="A262" s="26">
        <v>46143</v>
      </c>
      <c r="B262">
        <v>2026</v>
      </c>
      <c r="C262" t="s">
        <v>27</v>
      </c>
      <c r="D262" t="s">
        <v>146</v>
      </c>
      <c r="E262" t="s">
        <v>71</v>
      </c>
      <c r="F262" s="13" cm="1">
        <f t="array" ref="F262">_xlfn.SWITCH(B262,
2024,INDEX('2024_budget'!$B$59:$M$69,MATCH(E262,'2024_budget'!$A$59:$A$69,0),MATCH(C262,'2024_budget'!$B$58:$M$58,0)),
2025,INDEX('2025_budget'!$B$59:$M$69,MATCH(E262,'2025_budget'!$A$59:$A$69,0),MATCH(C262,'2025_budget'!$B$58:$M$58,0)),
2026,INDEX('2026_budget'!$B$59:$M$69,MATCH(E262,'2026_budget'!$A$59:$A$69,0),MATCH(C262,'2026_budget'!$B$58:$M$58,0))
)</f>
        <v>517070.8666666667</v>
      </c>
      <c r="G262" s="13" cm="1">
        <f t="array" ref="G262">_xlfn.SWITCH(B262,
2024,INDEX('2024_actual'!$B$59:$M$69,MATCH(E262,'2024_actual'!$A$59:$A$69,0),MATCH(C262,'2024_actual'!$B$58:$M$58,0)),
2025,INDEX('2025_actual'!$B$59:$M$69,MATCH(E262,'2025_actual'!$A$59:$A$69,0),MATCH(C262,'2025_actual'!$B$58:$M$58,0)),
2026,INDEX('2026_actual'!$B$59:$M$69,MATCH(E262,'2026_actual'!$A$59:$A$69,0),MATCH(C262,'2026_actual'!$B$58:$M$58,0))
)</f>
        <v>562600</v>
      </c>
      <c r="H262" s="13">
        <f t="shared" si="60"/>
        <v>45529.133333333302</v>
      </c>
      <c r="I262" s="10">
        <f t="shared" si="62"/>
        <v>8.8052018143741154E-2</v>
      </c>
      <c r="J262" s="6" t="str">
        <f>IF(G262&gt;=F262,"F","U")</f>
        <v>F</v>
      </c>
    </row>
    <row r="263" spans="1:10" x14ac:dyDescent="0.35">
      <c r="A263" s="26">
        <v>46174</v>
      </c>
      <c r="B263">
        <v>2026</v>
      </c>
      <c r="C263" t="s">
        <v>28</v>
      </c>
      <c r="D263" t="s">
        <v>146</v>
      </c>
      <c r="E263" t="s">
        <v>6</v>
      </c>
      <c r="F263" s="13" cm="1">
        <f t="array" ref="F263">_xlfn.SWITCH(B263,
2024,INDEX('2024_budget'!$B$59:$M$69,MATCH(E263,'2024_budget'!$A$59:$A$69,0),MATCH(C263,'2024_budget'!$B$58:$M$58,0)),
2025,INDEX('2025_budget'!$B$59:$M$69,MATCH(E263,'2025_budget'!$A$59:$A$69,0),MATCH(C263,'2025_budget'!$B$58:$M$58,0)),
2026,INDEX('2026_budget'!$B$59:$M$69,MATCH(E263,'2026_budget'!$A$59:$A$69,0),MATCH(C263,'2026_budget'!$B$58:$M$58,0))
)</f>
        <v>4232000</v>
      </c>
      <c r="G263" s="13" cm="1">
        <f t="array" ref="G263">_xlfn.SWITCH(B263,
2024,INDEX('2024_actual'!$B$59:$M$69,MATCH(E263,'2024_actual'!$A$59:$A$69,0),MATCH(C263,'2024_actual'!$B$58:$M$58,0)),
2025,INDEX('2025_actual'!$B$59:$M$69,MATCH(E263,'2025_actual'!$A$59:$A$69,0),MATCH(C263,'2025_actual'!$B$58:$M$58,0)),
2026,INDEX('2026_actual'!$B$59:$M$69,MATCH(E263,'2026_actual'!$A$59:$A$69,0),MATCH(C263,'2026_actual'!$B$58:$M$58,0))
)</f>
        <v>4340000</v>
      </c>
      <c r="H263" s="13">
        <f>G263-F263</f>
        <v>108000</v>
      </c>
      <c r="I263" s="10">
        <f t="shared" si="62"/>
        <v>2.5519848771266541E-2</v>
      </c>
      <c r="J263" s="6" t="str">
        <f>IF(G263&gt;=F263,"F","U")</f>
        <v>F</v>
      </c>
    </row>
    <row r="264" spans="1:10" x14ac:dyDescent="0.35">
      <c r="A264" s="26">
        <v>46174</v>
      </c>
      <c r="B264">
        <v>2026</v>
      </c>
      <c r="C264" t="s">
        <v>28</v>
      </c>
      <c r="D264" t="s">
        <v>11</v>
      </c>
      <c r="E264" t="s">
        <v>64</v>
      </c>
      <c r="F264" s="13" cm="1">
        <f t="array" ref="F264">_xlfn.SWITCH(B264,
2024,INDEX('2024_budget'!$B$59:$M$69,MATCH(E264,'2024_budget'!$A$59:$A$69,0),MATCH(C264,'2024_budget'!$B$58:$M$58,0)),
2025,INDEX('2025_budget'!$B$59:$M$69,MATCH(E264,'2025_budget'!$A$59:$A$69,0),MATCH(C264,'2025_budget'!$B$58:$M$58,0)),
2026,INDEX('2026_budget'!$B$59:$M$69,MATCH(E264,'2026_budget'!$A$59:$A$69,0),MATCH(C264,'2026_budget'!$B$58:$M$58,0))
)</f>
        <v>861980</v>
      </c>
      <c r="G264" s="13" cm="1">
        <f t="array" ref="G264">_xlfn.SWITCH(B264,
2024,INDEX('2024_actual'!$B$59:$M$69,MATCH(E264,'2024_actual'!$A$59:$A$69,0),MATCH(C264,'2024_actual'!$B$58:$M$58,0)),
2025,INDEX('2025_actual'!$B$59:$M$69,MATCH(E264,'2025_actual'!$A$59:$A$69,0),MATCH(C264,'2025_actual'!$B$58:$M$58,0)),
2026,INDEX('2026_actual'!$B$59:$M$69,MATCH(E264,'2026_actual'!$A$59:$A$69,0),MATCH(C264,'2026_actual'!$B$58:$M$58,0))
)</f>
        <v>866000</v>
      </c>
      <c r="H264" s="13">
        <f t="shared" ref="H264:H271" si="63">G264-F264</f>
        <v>4020</v>
      </c>
      <c r="I264" s="10">
        <f t="shared" si="62"/>
        <v>4.6636812919093251E-3</v>
      </c>
      <c r="J264" s="6" t="str">
        <f>IF(G264&lt;=F264,"F","U")</f>
        <v>U</v>
      </c>
    </row>
    <row r="265" spans="1:10" x14ac:dyDescent="0.35">
      <c r="A265" s="26">
        <v>46174</v>
      </c>
      <c r="B265">
        <v>2026</v>
      </c>
      <c r="C265" t="s">
        <v>28</v>
      </c>
      <c r="D265" t="s">
        <v>13</v>
      </c>
      <c r="E265" t="s">
        <v>65</v>
      </c>
      <c r="F265" s="13" cm="1">
        <f t="array" ref="F265">_xlfn.SWITCH(B265,
2024,INDEX('2024_budget'!$B$59:$M$69,MATCH(E265,'2024_budget'!$A$59:$A$69,0),MATCH(C265,'2024_budget'!$B$58:$M$58,0)),
2025,INDEX('2025_budget'!$B$59:$M$69,MATCH(E265,'2025_budget'!$A$59:$A$69,0),MATCH(C265,'2025_budget'!$B$58:$M$58,0)),
2026,INDEX('2026_budget'!$B$59:$M$69,MATCH(E265,'2026_budget'!$A$59:$A$69,0),MATCH(C265,'2026_budget'!$B$58:$M$58,0))
)</f>
        <v>506805.2</v>
      </c>
      <c r="G265" s="13" cm="1">
        <f t="array" ref="G265">_xlfn.SWITCH(B265,
2024,INDEX('2024_actual'!$B$59:$M$69,MATCH(E265,'2024_actual'!$A$59:$A$69,0),MATCH(C265,'2024_actual'!$B$58:$M$58,0)),
2025,INDEX('2025_actual'!$B$59:$M$69,MATCH(E265,'2025_actual'!$A$59:$A$69,0),MATCH(C265,'2025_actual'!$B$58:$M$58,0)),
2026,INDEX('2026_actual'!$B$59:$M$69,MATCH(E265,'2026_actual'!$A$59:$A$69,0),MATCH(C265,'2026_actual'!$B$58:$M$58,0))
)</f>
        <v>521000</v>
      </c>
      <c r="H265" s="13">
        <f t="shared" si="63"/>
        <v>14194.799999999988</v>
      </c>
      <c r="I265" s="10">
        <f t="shared" si="62"/>
        <v>2.80083945468594E-2</v>
      </c>
      <c r="J265" s="6" t="str">
        <f t="shared" ref="J265:J270" si="64">IF(G265&lt;=F265,"F","U")</f>
        <v>U</v>
      </c>
    </row>
    <row r="266" spans="1:10" x14ac:dyDescent="0.35">
      <c r="A266" s="26">
        <v>46174</v>
      </c>
      <c r="B266">
        <v>2026</v>
      </c>
      <c r="C266" t="s">
        <v>28</v>
      </c>
      <c r="D266" t="s">
        <v>10</v>
      </c>
      <c r="E266" t="s">
        <v>66</v>
      </c>
      <c r="F266" s="13" cm="1">
        <f t="array" ref="F266">_xlfn.SWITCH(B266,
2024,INDEX('2024_budget'!$B$59:$M$69,MATCH(E266,'2024_budget'!$A$59:$A$69,0),MATCH(C266,'2024_budget'!$B$58:$M$58,0)),
2025,INDEX('2025_budget'!$B$59:$M$69,MATCH(E266,'2025_budget'!$A$59:$A$69,0),MATCH(C266,'2025_budget'!$B$58:$M$58,0)),
2026,INDEX('2026_budget'!$B$59:$M$69,MATCH(E266,'2026_budget'!$A$59:$A$69,0),MATCH(C266,'2026_budget'!$B$58:$M$58,0))
)</f>
        <v>1364196.3</v>
      </c>
      <c r="G266" s="13" cm="1">
        <f t="array" ref="G266">_xlfn.SWITCH(B266,
2024,INDEX('2024_actual'!$B$59:$M$69,MATCH(E266,'2024_actual'!$A$59:$A$69,0),MATCH(C266,'2024_actual'!$B$58:$M$58,0)),
2025,INDEX('2025_actual'!$B$59:$M$69,MATCH(E266,'2025_actual'!$A$59:$A$69,0),MATCH(C266,'2025_actual'!$B$58:$M$58,0)),
2026,INDEX('2026_actual'!$B$59:$M$69,MATCH(E266,'2026_actual'!$A$59:$A$69,0),MATCH(C266,'2026_actual'!$B$58:$M$58,0))
)</f>
        <v>1384500</v>
      </c>
      <c r="H266" s="13">
        <f t="shared" si="63"/>
        <v>20303.699999999953</v>
      </c>
      <c r="I266" s="10">
        <f t="shared" si="62"/>
        <v>1.4883268632234197E-2</v>
      </c>
      <c r="J266" s="6" t="str">
        <f t="shared" si="64"/>
        <v>U</v>
      </c>
    </row>
    <row r="267" spans="1:10" x14ac:dyDescent="0.35">
      <c r="A267" s="26">
        <v>46174</v>
      </c>
      <c r="B267">
        <v>2026</v>
      </c>
      <c r="C267" t="s">
        <v>28</v>
      </c>
      <c r="D267" t="s">
        <v>14</v>
      </c>
      <c r="E267" t="s">
        <v>67</v>
      </c>
      <c r="F267" s="13" cm="1">
        <f t="array" ref="F267">_xlfn.SWITCH(B267,
2024,INDEX('2024_budget'!$B$59:$M$69,MATCH(E267,'2024_budget'!$A$59:$A$69,0),MATCH(C267,'2024_budget'!$B$58:$M$58,0)),
2025,INDEX('2025_budget'!$B$59:$M$69,MATCH(E267,'2025_budget'!$A$59:$A$69,0),MATCH(C267,'2025_budget'!$B$58:$M$58,0)),
2026,INDEX('2026_budget'!$B$59:$M$69,MATCH(E267,'2026_budget'!$A$59:$A$69,0),MATCH(C267,'2026_budget'!$B$58:$M$58,0))
)</f>
        <v>283797.08333333331</v>
      </c>
      <c r="G267" s="13" cm="1">
        <f t="array" ref="G267">_xlfn.SWITCH(B267,
2024,INDEX('2024_actual'!$B$59:$M$69,MATCH(E267,'2024_actual'!$A$59:$A$69,0),MATCH(C267,'2024_actual'!$B$58:$M$58,0)),
2025,INDEX('2025_actual'!$B$59:$M$69,MATCH(E267,'2025_actual'!$A$59:$A$69,0),MATCH(C267,'2025_actual'!$B$58:$M$58,0)),
2026,INDEX('2026_actual'!$B$59:$M$69,MATCH(E267,'2026_actual'!$A$59:$A$69,0),MATCH(C267,'2026_actual'!$B$58:$M$58,0))
)</f>
        <v>282550</v>
      </c>
      <c r="H267" s="13">
        <f t="shared" si="63"/>
        <v>-1247.0833333333139</v>
      </c>
      <c r="I267" s="10">
        <f t="shared" si="62"/>
        <v>-4.3942781887879893E-3</v>
      </c>
      <c r="J267" s="6" t="str">
        <f t="shared" si="64"/>
        <v>F</v>
      </c>
    </row>
    <row r="268" spans="1:10" x14ac:dyDescent="0.35">
      <c r="A268" s="26">
        <v>46174</v>
      </c>
      <c r="B268">
        <v>2026</v>
      </c>
      <c r="C268" t="s">
        <v>28</v>
      </c>
      <c r="D268" t="s">
        <v>12</v>
      </c>
      <c r="E268" t="s">
        <v>68</v>
      </c>
      <c r="F268" s="13" cm="1">
        <f t="array" ref="F268">_xlfn.SWITCH(B268,
2024,INDEX('2024_budget'!$B$59:$M$69,MATCH(E268,'2024_budget'!$A$59:$A$69,0),MATCH(C268,'2024_budget'!$B$58:$M$58,0)),
2025,INDEX('2025_budget'!$B$59:$M$69,MATCH(E268,'2025_budget'!$A$59:$A$69,0),MATCH(C268,'2025_budget'!$B$58:$M$58,0)),
2026,INDEX('2026_budget'!$B$59:$M$69,MATCH(E268,'2026_budget'!$A$59:$A$69,0),MATCH(C268,'2026_budget'!$B$58:$M$58,0))
)</f>
        <v>339635.4</v>
      </c>
      <c r="G268" s="13" cm="1">
        <f t="array" ref="G268">_xlfn.SWITCH(B268,
2024,INDEX('2024_actual'!$B$59:$M$69,MATCH(E268,'2024_actual'!$A$59:$A$69,0),MATCH(C268,'2024_actual'!$B$58:$M$58,0)),
2025,INDEX('2025_actual'!$B$59:$M$69,MATCH(E268,'2025_actual'!$A$59:$A$69,0),MATCH(C268,'2025_actual'!$B$58:$M$58,0)),
2026,INDEX('2026_actual'!$B$59:$M$69,MATCH(E268,'2026_actual'!$A$59:$A$69,0),MATCH(C268,'2026_actual'!$B$58:$M$58,0))
)</f>
        <v>337300</v>
      </c>
      <c r="H268" s="13">
        <f t="shared" si="63"/>
        <v>-2335.4000000000233</v>
      </c>
      <c r="I268" s="10">
        <f t="shared" si="62"/>
        <v>-6.876197239745984E-3</v>
      </c>
      <c r="J268" s="6" t="str">
        <f t="shared" si="64"/>
        <v>F</v>
      </c>
    </row>
    <row r="269" spans="1:10" x14ac:dyDescent="0.35">
      <c r="A269" s="26">
        <v>46174</v>
      </c>
      <c r="B269">
        <v>2026</v>
      </c>
      <c r="C269" t="s">
        <v>28</v>
      </c>
      <c r="D269" t="s">
        <v>15</v>
      </c>
      <c r="E269" t="s">
        <v>69</v>
      </c>
      <c r="F269" s="13" cm="1">
        <f t="array" ref="F269">_xlfn.SWITCH(B269,
2024,INDEX('2024_budget'!$B$59:$M$69,MATCH(E269,'2024_budget'!$A$59:$A$69,0),MATCH(C269,'2024_budget'!$B$58:$M$58,0)),
2025,INDEX('2025_budget'!$B$59:$M$69,MATCH(E269,'2025_budget'!$A$59:$A$69,0),MATCH(C269,'2025_budget'!$B$58:$M$58,0)),
2026,INDEX('2026_budget'!$B$59:$M$69,MATCH(E269,'2026_budget'!$A$59:$A$69,0),MATCH(C269,'2026_budget'!$B$58:$M$58,0))
)</f>
        <v>358515.15</v>
      </c>
      <c r="G269" s="13" cm="1">
        <f t="array" ref="G269">_xlfn.SWITCH(B269,
2024,INDEX('2024_actual'!$B$59:$M$69,MATCH(E269,'2024_actual'!$A$59:$A$69,0),MATCH(C269,'2024_actual'!$B$58:$M$58,0)),
2025,INDEX('2025_actual'!$B$59:$M$69,MATCH(E269,'2025_actual'!$A$59:$A$69,0),MATCH(C269,'2025_actual'!$B$58:$M$58,0)),
2026,INDEX('2026_actual'!$B$59:$M$69,MATCH(E269,'2026_actual'!$A$59:$A$69,0),MATCH(C269,'2026_actual'!$B$58:$M$58,0))
)</f>
        <v>357050</v>
      </c>
      <c r="H269" s="13">
        <f t="shared" si="63"/>
        <v>-1465.1500000000233</v>
      </c>
      <c r="I269" s="10">
        <f t="shared" si="62"/>
        <v>-4.0867171164175996E-3</v>
      </c>
      <c r="J269" s="6" t="str">
        <f t="shared" si="64"/>
        <v>F</v>
      </c>
    </row>
    <row r="270" spans="1:10" x14ac:dyDescent="0.35">
      <c r="A270" s="26">
        <v>46174</v>
      </c>
      <c r="B270">
        <v>2026</v>
      </c>
      <c r="C270" t="s">
        <v>28</v>
      </c>
      <c r="D270" t="s">
        <v>146</v>
      </c>
      <c r="E270" t="s">
        <v>70</v>
      </c>
      <c r="F270" s="13" cm="1">
        <f t="array" ref="F270">_xlfn.SWITCH(B270,
2024,INDEX('2024_budget'!$B$59:$M$69,MATCH(E270,'2024_budget'!$A$59:$A$69,0),MATCH(C270,'2024_budget'!$B$58:$M$58,0)),
2025,INDEX('2025_budget'!$B$59:$M$69,MATCH(E270,'2025_budget'!$A$59:$A$69,0),MATCH(C270,'2025_budget'!$B$58:$M$58,0)),
2026,INDEX('2026_budget'!$B$59:$M$69,MATCH(E270,'2026_budget'!$A$59:$A$69,0),MATCH(C270,'2026_budget'!$B$58:$M$58,0))
)</f>
        <v>3714929.1333333333</v>
      </c>
      <c r="G270" s="13" cm="1">
        <f t="array" ref="G270">_xlfn.SWITCH(B270,
2024,INDEX('2024_actual'!$B$59:$M$69,MATCH(E270,'2024_actual'!$A$59:$A$69,0),MATCH(C270,'2024_actual'!$B$58:$M$58,0)),
2025,INDEX('2025_actual'!$B$59:$M$69,MATCH(E270,'2025_actual'!$A$59:$A$69,0),MATCH(C270,'2025_actual'!$B$58:$M$58,0)),
2026,INDEX('2026_actual'!$B$59:$M$69,MATCH(E270,'2026_actual'!$A$59:$A$69,0),MATCH(C270,'2026_actual'!$B$58:$M$58,0))
)</f>
        <v>3748400</v>
      </c>
      <c r="H270" s="13">
        <f t="shared" si="63"/>
        <v>33470.866666666698</v>
      </c>
      <c r="I270" s="10">
        <f t="shared" si="62"/>
        <v>9.0098264234273404E-3</v>
      </c>
      <c r="J270" s="6" t="str">
        <f t="shared" si="64"/>
        <v>U</v>
      </c>
    </row>
    <row r="271" spans="1:10" x14ac:dyDescent="0.35">
      <c r="A271" s="26">
        <v>46174</v>
      </c>
      <c r="B271">
        <v>2026</v>
      </c>
      <c r="C271" t="s">
        <v>28</v>
      </c>
      <c r="D271" t="s">
        <v>146</v>
      </c>
      <c r="E271" t="s">
        <v>71</v>
      </c>
      <c r="F271" s="13" cm="1">
        <f t="array" ref="F271">_xlfn.SWITCH(B271,
2024,INDEX('2024_budget'!$B$59:$M$69,MATCH(E271,'2024_budget'!$A$59:$A$69,0),MATCH(C271,'2024_budget'!$B$58:$M$58,0)),
2025,INDEX('2025_budget'!$B$59:$M$69,MATCH(E271,'2025_budget'!$A$59:$A$69,0),MATCH(C271,'2025_budget'!$B$58:$M$58,0)),
2026,INDEX('2026_budget'!$B$59:$M$69,MATCH(E271,'2026_budget'!$A$59:$A$69,0),MATCH(C271,'2026_budget'!$B$58:$M$58,0))
)</f>
        <v>517070.8666666667</v>
      </c>
      <c r="G271" s="13" cm="1">
        <f t="array" ref="G271">_xlfn.SWITCH(B271,
2024,INDEX('2024_actual'!$B$59:$M$69,MATCH(E271,'2024_actual'!$A$59:$A$69,0),MATCH(C271,'2024_actual'!$B$58:$M$58,0)),
2025,INDEX('2025_actual'!$B$59:$M$69,MATCH(E271,'2025_actual'!$A$59:$A$69,0),MATCH(C271,'2025_actual'!$B$58:$M$58,0)),
2026,INDEX('2026_actual'!$B$59:$M$69,MATCH(E271,'2026_actual'!$A$59:$A$69,0),MATCH(C271,'2026_actual'!$B$58:$M$58,0))
)</f>
        <v>591600</v>
      </c>
      <c r="H271" s="13">
        <f t="shared" si="63"/>
        <v>74529.133333333302</v>
      </c>
      <c r="I271" s="10">
        <f t="shared" si="62"/>
        <v>0.14413717371816082</v>
      </c>
      <c r="J271" s="6" t="str">
        <f>IF(G271&gt;=F271,"F","U")</f>
        <v>F</v>
      </c>
    </row>
    <row r="272" spans="1:10" x14ac:dyDescent="0.35">
      <c r="A272" s="26">
        <v>46204</v>
      </c>
      <c r="B272">
        <v>2026</v>
      </c>
      <c r="C272" t="s">
        <v>29</v>
      </c>
      <c r="D272" t="s">
        <v>146</v>
      </c>
      <c r="E272" t="s">
        <v>6</v>
      </c>
      <c r="F272" s="13" cm="1">
        <f t="array" ref="F272">_xlfn.SWITCH(B272,
2024,INDEX('2024_budget'!$B$59:$M$69,MATCH(E272,'2024_budget'!$A$59:$A$69,0),MATCH(C272,'2024_budget'!$B$58:$M$58,0)),
2025,INDEX('2025_budget'!$B$59:$M$69,MATCH(E272,'2025_budget'!$A$59:$A$69,0),MATCH(C272,'2025_budget'!$B$58:$M$58,0)),
2026,INDEX('2026_budget'!$B$59:$M$69,MATCH(E272,'2026_budget'!$A$59:$A$69,0),MATCH(C272,'2026_budget'!$B$58:$M$58,0))
)</f>
        <v>4232000</v>
      </c>
      <c r="G272" s="13" cm="1">
        <f t="array" ref="G272">_xlfn.SWITCH(B272,
2024,INDEX('2024_actual'!$B$59:$M$69,MATCH(E272,'2024_actual'!$A$59:$A$69,0),MATCH(C272,'2024_actual'!$B$58:$M$58,0)),
2025,INDEX('2025_actual'!$B$59:$M$69,MATCH(E272,'2025_actual'!$A$59:$A$69,0),MATCH(C272,'2025_actual'!$B$58:$M$58,0)),
2026,INDEX('2026_actual'!$B$59:$M$69,MATCH(E272,'2026_actual'!$A$59:$A$69,0),MATCH(C272,'2026_actual'!$B$58:$M$58,0))
)</f>
        <v>4380000</v>
      </c>
      <c r="H272" s="13">
        <f>G272-F272</f>
        <v>148000</v>
      </c>
      <c r="I272" s="10">
        <f t="shared" si="62"/>
        <v>3.4971644612476371E-2</v>
      </c>
      <c r="J272" s="6" t="str">
        <f>IF(G272&gt;=F272,"F","U")</f>
        <v>F</v>
      </c>
    </row>
    <row r="273" spans="1:10" x14ac:dyDescent="0.35">
      <c r="A273" s="26">
        <v>46204</v>
      </c>
      <c r="B273">
        <v>2026</v>
      </c>
      <c r="C273" t="s">
        <v>29</v>
      </c>
      <c r="D273" t="s">
        <v>11</v>
      </c>
      <c r="E273" t="s">
        <v>64</v>
      </c>
      <c r="F273" s="13" cm="1">
        <f t="array" ref="F273">_xlfn.SWITCH(B273,
2024,INDEX('2024_budget'!$B$59:$M$69,MATCH(E273,'2024_budget'!$A$59:$A$69,0),MATCH(C273,'2024_budget'!$B$58:$M$58,0)),
2025,INDEX('2025_budget'!$B$59:$M$69,MATCH(E273,'2025_budget'!$A$59:$A$69,0),MATCH(C273,'2025_budget'!$B$58:$M$58,0)),
2026,INDEX('2026_budget'!$B$59:$M$69,MATCH(E273,'2026_budget'!$A$59:$A$69,0),MATCH(C273,'2026_budget'!$B$58:$M$58,0))
)</f>
        <v>861980</v>
      </c>
      <c r="G273" s="13" cm="1">
        <f t="array" ref="G273">_xlfn.SWITCH(B273,
2024,INDEX('2024_actual'!$B$59:$M$69,MATCH(E273,'2024_actual'!$A$59:$A$69,0),MATCH(C273,'2024_actual'!$B$58:$M$58,0)),
2025,INDEX('2025_actual'!$B$59:$M$69,MATCH(E273,'2025_actual'!$A$59:$A$69,0),MATCH(C273,'2025_actual'!$B$58:$M$58,0)),
2026,INDEX('2026_actual'!$B$59:$M$69,MATCH(E273,'2026_actual'!$A$59:$A$69,0),MATCH(C273,'2026_actual'!$B$58:$M$58,0))
)</f>
        <v>875000</v>
      </c>
      <c r="H273" s="13">
        <f t="shared" ref="H273:H280" si="65">G273-F273</f>
        <v>13020</v>
      </c>
      <c r="I273" s="10">
        <f t="shared" si="62"/>
        <v>1.5104758811109306E-2</v>
      </c>
      <c r="J273" s="6" t="str">
        <f>IF(G273&lt;=F273,"F","U")</f>
        <v>U</v>
      </c>
    </row>
    <row r="274" spans="1:10" x14ac:dyDescent="0.35">
      <c r="A274" s="26">
        <v>46204</v>
      </c>
      <c r="B274">
        <v>2026</v>
      </c>
      <c r="C274" t="s">
        <v>29</v>
      </c>
      <c r="D274" t="s">
        <v>13</v>
      </c>
      <c r="E274" t="s">
        <v>65</v>
      </c>
      <c r="F274" s="13" cm="1">
        <f t="array" ref="F274">_xlfn.SWITCH(B274,
2024,INDEX('2024_budget'!$B$59:$M$69,MATCH(E274,'2024_budget'!$A$59:$A$69,0),MATCH(C274,'2024_budget'!$B$58:$M$58,0)),
2025,INDEX('2025_budget'!$B$59:$M$69,MATCH(E274,'2025_budget'!$A$59:$A$69,0),MATCH(C274,'2025_budget'!$B$58:$M$58,0)),
2026,INDEX('2026_budget'!$B$59:$M$69,MATCH(E274,'2026_budget'!$A$59:$A$69,0),MATCH(C274,'2026_budget'!$B$58:$M$58,0))
)</f>
        <v>506805.2</v>
      </c>
      <c r="G274" s="13" cm="1">
        <f t="array" ref="G274">_xlfn.SWITCH(B274,
2024,INDEX('2024_actual'!$B$59:$M$69,MATCH(E274,'2024_actual'!$A$59:$A$69,0),MATCH(C274,'2024_actual'!$B$58:$M$58,0)),
2025,INDEX('2025_actual'!$B$59:$M$69,MATCH(E274,'2025_actual'!$A$59:$A$69,0),MATCH(C274,'2025_actual'!$B$58:$M$58,0)),
2026,INDEX('2026_actual'!$B$59:$M$69,MATCH(E274,'2026_actual'!$A$59:$A$69,0),MATCH(C274,'2026_actual'!$B$58:$M$58,0))
)</f>
        <v>527700</v>
      </c>
      <c r="H274" s="13">
        <f t="shared" si="65"/>
        <v>20894.799999999988</v>
      </c>
      <c r="I274" s="10">
        <f t="shared" si="62"/>
        <v>4.1228464112049341E-2</v>
      </c>
      <c r="J274" s="6" t="str">
        <f t="shared" ref="J274:J279" si="66">IF(G274&lt;=F274,"F","U")</f>
        <v>U</v>
      </c>
    </row>
    <row r="275" spans="1:10" x14ac:dyDescent="0.35">
      <c r="A275" s="26">
        <v>46204</v>
      </c>
      <c r="B275">
        <v>2026</v>
      </c>
      <c r="C275" t="s">
        <v>29</v>
      </c>
      <c r="D275" t="s">
        <v>10</v>
      </c>
      <c r="E275" t="s">
        <v>66</v>
      </c>
      <c r="F275" s="13" cm="1">
        <f t="array" ref="F275">_xlfn.SWITCH(B275,
2024,INDEX('2024_budget'!$B$59:$M$69,MATCH(E275,'2024_budget'!$A$59:$A$69,0),MATCH(C275,'2024_budget'!$B$58:$M$58,0)),
2025,INDEX('2025_budget'!$B$59:$M$69,MATCH(E275,'2025_budget'!$A$59:$A$69,0),MATCH(C275,'2025_budget'!$B$58:$M$58,0)),
2026,INDEX('2026_budget'!$B$59:$M$69,MATCH(E275,'2026_budget'!$A$59:$A$69,0),MATCH(C275,'2026_budget'!$B$58:$M$58,0))
)</f>
        <v>1364196.3</v>
      </c>
      <c r="G275" s="13" cm="1">
        <f t="array" ref="G275">_xlfn.SWITCH(B275,
2024,INDEX('2024_actual'!$B$59:$M$69,MATCH(E275,'2024_actual'!$A$59:$A$69,0),MATCH(C275,'2024_actual'!$B$58:$M$58,0)),
2025,INDEX('2025_actual'!$B$59:$M$69,MATCH(E275,'2025_actual'!$A$59:$A$69,0),MATCH(C275,'2025_actual'!$B$58:$M$58,0)),
2026,INDEX('2026_actual'!$B$59:$M$69,MATCH(E275,'2026_actual'!$A$59:$A$69,0),MATCH(C275,'2026_actual'!$B$58:$M$58,0))
)</f>
        <v>1395500</v>
      </c>
      <c r="H275" s="13">
        <f t="shared" si="65"/>
        <v>31303.699999999953</v>
      </c>
      <c r="I275" s="10">
        <f t="shared" si="62"/>
        <v>2.2946624323786798E-2</v>
      </c>
      <c r="J275" s="6" t="str">
        <f t="shared" si="66"/>
        <v>U</v>
      </c>
    </row>
    <row r="276" spans="1:10" x14ac:dyDescent="0.35">
      <c r="A276" s="26">
        <v>46204</v>
      </c>
      <c r="B276">
        <v>2026</v>
      </c>
      <c r="C276" t="s">
        <v>29</v>
      </c>
      <c r="D276" t="s">
        <v>14</v>
      </c>
      <c r="E276" t="s">
        <v>67</v>
      </c>
      <c r="F276" s="13" cm="1">
        <f t="array" ref="F276">_xlfn.SWITCH(B276,
2024,INDEX('2024_budget'!$B$59:$M$69,MATCH(E276,'2024_budget'!$A$59:$A$69,0),MATCH(C276,'2024_budget'!$B$58:$M$58,0)),
2025,INDEX('2025_budget'!$B$59:$M$69,MATCH(E276,'2025_budget'!$A$59:$A$69,0),MATCH(C276,'2025_budget'!$B$58:$M$58,0)),
2026,INDEX('2026_budget'!$B$59:$M$69,MATCH(E276,'2026_budget'!$A$59:$A$69,0),MATCH(C276,'2026_budget'!$B$58:$M$58,0))
)</f>
        <v>283797.08333333331</v>
      </c>
      <c r="G276" s="13" cm="1">
        <f t="array" ref="G276">_xlfn.SWITCH(B276,
2024,INDEX('2024_actual'!$B$59:$M$69,MATCH(E276,'2024_actual'!$A$59:$A$69,0),MATCH(C276,'2024_actual'!$B$58:$M$58,0)),
2025,INDEX('2025_actual'!$B$59:$M$69,MATCH(E276,'2025_actual'!$A$59:$A$69,0),MATCH(C276,'2025_actual'!$B$58:$M$58,0)),
2026,INDEX('2026_actual'!$B$59:$M$69,MATCH(E276,'2026_actual'!$A$59:$A$69,0),MATCH(C276,'2026_actual'!$B$58:$M$58,0))
)</f>
        <v>284750</v>
      </c>
      <c r="H276" s="13">
        <f t="shared" si="65"/>
        <v>952.91666666668607</v>
      </c>
      <c r="I276" s="10">
        <f t="shared" si="62"/>
        <v>3.3577394646703948E-3</v>
      </c>
      <c r="J276" s="6" t="str">
        <f t="shared" si="66"/>
        <v>U</v>
      </c>
    </row>
    <row r="277" spans="1:10" x14ac:dyDescent="0.35">
      <c r="A277" s="26">
        <v>46204</v>
      </c>
      <c r="B277">
        <v>2026</v>
      </c>
      <c r="C277" t="s">
        <v>29</v>
      </c>
      <c r="D277" t="s">
        <v>12</v>
      </c>
      <c r="E277" t="s">
        <v>68</v>
      </c>
      <c r="F277" s="13" cm="1">
        <f t="array" ref="F277">_xlfn.SWITCH(B277,
2024,INDEX('2024_budget'!$B$59:$M$69,MATCH(E277,'2024_budget'!$A$59:$A$69,0),MATCH(C277,'2024_budget'!$B$58:$M$58,0)),
2025,INDEX('2025_budget'!$B$59:$M$69,MATCH(E277,'2025_budget'!$A$59:$A$69,0),MATCH(C277,'2025_budget'!$B$58:$M$58,0)),
2026,INDEX('2026_budget'!$B$59:$M$69,MATCH(E277,'2026_budget'!$A$59:$A$69,0),MATCH(C277,'2026_budget'!$B$58:$M$58,0))
)</f>
        <v>339635.4</v>
      </c>
      <c r="G277" s="13" cm="1">
        <f t="array" ref="G277">_xlfn.SWITCH(B277,
2024,INDEX('2024_actual'!$B$59:$M$69,MATCH(E277,'2024_actual'!$A$59:$A$69,0),MATCH(C277,'2024_actual'!$B$58:$M$58,0)),
2025,INDEX('2025_actual'!$B$59:$M$69,MATCH(E277,'2025_actual'!$A$59:$A$69,0),MATCH(C277,'2025_actual'!$B$58:$M$58,0)),
2026,INDEX('2026_actual'!$B$59:$M$69,MATCH(E277,'2026_actual'!$A$59:$A$69,0),MATCH(C277,'2026_actual'!$B$58:$M$58,0))
)</f>
        <v>339000</v>
      </c>
      <c r="H277" s="13">
        <f t="shared" si="65"/>
        <v>-635.40000000002328</v>
      </c>
      <c r="I277" s="10">
        <f t="shared" si="62"/>
        <v>-1.8708297191636185E-3</v>
      </c>
      <c r="J277" s="6" t="str">
        <f t="shared" si="66"/>
        <v>F</v>
      </c>
    </row>
    <row r="278" spans="1:10" x14ac:dyDescent="0.35">
      <c r="A278" s="26">
        <v>46204</v>
      </c>
      <c r="B278">
        <v>2026</v>
      </c>
      <c r="C278" t="s">
        <v>29</v>
      </c>
      <c r="D278" t="s">
        <v>15</v>
      </c>
      <c r="E278" t="s">
        <v>69</v>
      </c>
      <c r="F278" s="13" cm="1">
        <f t="array" ref="F278">_xlfn.SWITCH(B278,
2024,INDEX('2024_budget'!$B$59:$M$69,MATCH(E278,'2024_budget'!$A$59:$A$69,0),MATCH(C278,'2024_budget'!$B$58:$M$58,0)),
2025,INDEX('2025_budget'!$B$59:$M$69,MATCH(E278,'2025_budget'!$A$59:$A$69,0),MATCH(C278,'2025_budget'!$B$58:$M$58,0)),
2026,INDEX('2026_budget'!$B$59:$M$69,MATCH(E278,'2026_budget'!$A$59:$A$69,0),MATCH(C278,'2026_budget'!$B$58:$M$58,0))
)</f>
        <v>358515.15</v>
      </c>
      <c r="G278" s="13" cm="1">
        <f t="array" ref="G278">_xlfn.SWITCH(B278,
2024,INDEX('2024_actual'!$B$59:$M$69,MATCH(E278,'2024_actual'!$A$59:$A$69,0),MATCH(C278,'2024_actual'!$B$58:$M$58,0)),
2025,INDEX('2025_actual'!$B$59:$M$69,MATCH(E278,'2025_actual'!$A$59:$A$69,0),MATCH(C278,'2025_actual'!$B$58:$M$58,0)),
2026,INDEX('2026_actual'!$B$59:$M$69,MATCH(E278,'2026_actual'!$A$59:$A$69,0),MATCH(C278,'2026_actual'!$B$58:$M$58,0))
)</f>
        <v>359250</v>
      </c>
      <c r="H278" s="13">
        <f t="shared" si="65"/>
        <v>734.84999999997672</v>
      </c>
      <c r="I278" s="10">
        <f t="shared" si="62"/>
        <v>2.0497041756812138E-3</v>
      </c>
      <c r="J278" s="6" t="str">
        <f t="shared" si="66"/>
        <v>U</v>
      </c>
    </row>
    <row r="279" spans="1:10" x14ac:dyDescent="0.35">
      <c r="A279" s="26">
        <v>46204</v>
      </c>
      <c r="B279">
        <v>2026</v>
      </c>
      <c r="C279" t="s">
        <v>29</v>
      </c>
      <c r="D279" t="s">
        <v>146</v>
      </c>
      <c r="E279" t="s">
        <v>70</v>
      </c>
      <c r="F279" s="13" cm="1">
        <f t="array" ref="F279">_xlfn.SWITCH(B279,
2024,INDEX('2024_budget'!$B$59:$M$69,MATCH(E279,'2024_budget'!$A$59:$A$69,0),MATCH(C279,'2024_budget'!$B$58:$M$58,0)),
2025,INDEX('2025_budget'!$B$59:$M$69,MATCH(E279,'2025_budget'!$A$59:$A$69,0),MATCH(C279,'2025_budget'!$B$58:$M$58,0)),
2026,INDEX('2026_budget'!$B$59:$M$69,MATCH(E279,'2026_budget'!$A$59:$A$69,0),MATCH(C279,'2026_budget'!$B$58:$M$58,0))
)</f>
        <v>3714929.1333333333</v>
      </c>
      <c r="G279" s="13" cm="1">
        <f t="array" ref="G279">_xlfn.SWITCH(B279,
2024,INDEX('2024_actual'!$B$59:$M$69,MATCH(E279,'2024_actual'!$A$59:$A$69,0),MATCH(C279,'2024_actual'!$B$58:$M$58,0)),
2025,INDEX('2025_actual'!$B$59:$M$69,MATCH(E279,'2025_actual'!$A$59:$A$69,0),MATCH(C279,'2025_actual'!$B$58:$M$58,0)),
2026,INDEX('2026_actual'!$B$59:$M$69,MATCH(E279,'2026_actual'!$A$59:$A$69,0),MATCH(C279,'2026_actual'!$B$58:$M$58,0))
)</f>
        <v>3781200</v>
      </c>
      <c r="H279" s="13">
        <f t="shared" si="65"/>
        <v>66270.866666666698</v>
      </c>
      <c r="I279" s="10">
        <f t="shared" si="62"/>
        <v>1.7839066180840749E-2</v>
      </c>
      <c r="J279" s="6" t="str">
        <f t="shared" si="66"/>
        <v>U</v>
      </c>
    </row>
    <row r="280" spans="1:10" x14ac:dyDescent="0.35">
      <c r="A280" s="26">
        <v>46204</v>
      </c>
      <c r="B280">
        <v>2026</v>
      </c>
      <c r="C280" t="s">
        <v>29</v>
      </c>
      <c r="D280" t="s">
        <v>146</v>
      </c>
      <c r="E280" t="s">
        <v>71</v>
      </c>
      <c r="F280" s="13" cm="1">
        <f t="array" ref="F280">_xlfn.SWITCH(B280,
2024,INDEX('2024_budget'!$B$59:$M$69,MATCH(E280,'2024_budget'!$A$59:$A$69,0),MATCH(C280,'2024_budget'!$B$58:$M$58,0)),
2025,INDEX('2025_budget'!$B$59:$M$69,MATCH(E280,'2025_budget'!$A$59:$A$69,0),MATCH(C280,'2025_budget'!$B$58:$M$58,0)),
2026,INDEX('2026_budget'!$B$59:$M$69,MATCH(E280,'2026_budget'!$A$59:$A$69,0),MATCH(C280,'2026_budget'!$B$58:$M$58,0))
)</f>
        <v>517070.8666666667</v>
      </c>
      <c r="G280" s="13" cm="1">
        <f t="array" ref="G280">_xlfn.SWITCH(B280,
2024,INDEX('2024_actual'!$B$59:$M$69,MATCH(E280,'2024_actual'!$A$59:$A$69,0),MATCH(C280,'2024_actual'!$B$58:$M$58,0)),
2025,INDEX('2025_actual'!$B$59:$M$69,MATCH(E280,'2025_actual'!$A$59:$A$69,0),MATCH(C280,'2025_actual'!$B$58:$M$58,0)),
2026,INDEX('2026_actual'!$B$59:$M$69,MATCH(E280,'2026_actual'!$A$59:$A$69,0),MATCH(C280,'2026_actual'!$B$58:$M$58,0))
)</f>
        <v>598800</v>
      </c>
      <c r="H280" s="13">
        <f t="shared" si="65"/>
        <v>81729.133333333302</v>
      </c>
      <c r="I280" s="10">
        <f t="shared" si="62"/>
        <v>0.15806176406767189</v>
      </c>
      <c r="J280" s="6" t="str">
        <f>IF(G280&gt;=F280,"F","U")</f>
        <v>F</v>
      </c>
    </row>
    <row r="281" spans="1:10" x14ac:dyDescent="0.35">
      <c r="A281" s="26">
        <v>46235</v>
      </c>
      <c r="B281">
        <v>2026</v>
      </c>
      <c r="C281" t="s">
        <v>30</v>
      </c>
      <c r="D281" t="s">
        <v>146</v>
      </c>
      <c r="E281" t="s">
        <v>6</v>
      </c>
      <c r="F281" s="13" cm="1">
        <f t="array" ref="F281">_xlfn.SWITCH(B281,
2024,INDEX('2024_budget'!$B$59:$M$69,MATCH(E281,'2024_budget'!$A$59:$A$69,0),MATCH(C281,'2024_budget'!$B$58:$M$58,0)),
2025,INDEX('2025_budget'!$B$59:$M$69,MATCH(E281,'2025_budget'!$A$59:$A$69,0),MATCH(C281,'2025_budget'!$B$58:$M$58,0)),
2026,INDEX('2026_budget'!$B$59:$M$69,MATCH(E281,'2026_budget'!$A$59:$A$69,0),MATCH(C281,'2026_budget'!$B$58:$M$58,0))
)</f>
        <v>4232000</v>
      </c>
      <c r="G281" s="13" cm="1">
        <f t="array" ref="G281">_xlfn.SWITCH(B281,
2024,INDEX('2024_actual'!$B$59:$M$69,MATCH(E281,'2024_actual'!$A$59:$A$69,0),MATCH(C281,'2024_actual'!$B$58:$M$58,0)),
2025,INDEX('2025_actual'!$B$59:$M$69,MATCH(E281,'2025_actual'!$A$59:$A$69,0),MATCH(C281,'2025_actual'!$B$58:$M$58,0)),
2026,INDEX('2026_actual'!$B$59:$M$69,MATCH(E281,'2026_actual'!$A$59:$A$69,0),MATCH(C281,'2026_actual'!$B$58:$M$58,0))
)</f>
        <v>4420000</v>
      </c>
      <c r="H281" s="13">
        <f>G281-F281</f>
        <v>188000</v>
      </c>
      <c r="I281" s="10">
        <f t="shared" si="62"/>
        <v>4.4423440453686201E-2</v>
      </c>
      <c r="J281" s="6" t="str">
        <f>IF(G281&gt;=F281,"F","U")</f>
        <v>F</v>
      </c>
    </row>
    <row r="282" spans="1:10" x14ac:dyDescent="0.35">
      <c r="A282" s="26">
        <v>46235</v>
      </c>
      <c r="B282">
        <v>2026</v>
      </c>
      <c r="C282" t="s">
        <v>30</v>
      </c>
      <c r="D282" t="s">
        <v>11</v>
      </c>
      <c r="E282" t="s">
        <v>64</v>
      </c>
      <c r="F282" s="13" cm="1">
        <f t="array" ref="F282">_xlfn.SWITCH(B282,
2024,INDEX('2024_budget'!$B$59:$M$69,MATCH(E282,'2024_budget'!$A$59:$A$69,0),MATCH(C282,'2024_budget'!$B$58:$M$58,0)),
2025,INDEX('2025_budget'!$B$59:$M$69,MATCH(E282,'2025_budget'!$A$59:$A$69,0),MATCH(C282,'2025_budget'!$B$58:$M$58,0)),
2026,INDEX('2026_budget'!$B$59:$M$69,MATCH(E282,'2026_budget'!$A$59:$A$69,0),MATCH(C282,'2026_budget'!$B$58:$M$58,0))
)</f>
        <v>861980</v>
      </c>
      <c r="G282" s="13" cm="1">
        <f t="array" ref="G282">_xlfn.SWITCH(B282,
2024,INDEX('2024_actual'!$B$59:$M$69,MATCH(E282,'2024_actual'!$A$59:$A$69,0),MATCH(C282,'2024_actual'!$B$58:$M$58,0)),
2025,INDEX('2025_actual'!$B$59:$M$69,MATCH(E282,'2025_actual'!$A$59:$A$69,0),MATCH(C282,'2025_actual'!$B$58:$M$58,0)),
2026,INDEX('2026_actual'!$B$59:$M$69,MATCH(E282,'2026_actual'!$A$59:$A$69,0),MATCH(C282,'2026_actual'!$B$58:$M$58,0))
)</f>
        <v>877000</v>
      </c>
      <c r="H282" s="13">
        <f t="shared" ref="H282:H289" si="67">G282-F282</f>
        <v>15020</v>
      </c>
      <c r="I282" s="10">
        <f t="shared" si="62"/>
        <v>1.7424998259820412E-2</v>
      </c>
      <c r="J282" s="6" t="str">
        <f>IF(G282&lt;=F282,"F","U")</f>
        <v>U</v>
      </c>
    </row>
    <row r="283" spans="1:10" x14ac:dyDescent="0.35">
      <c r="A283" s="26">
        <v>46235</v>
      </c>
      <c r="B283">
        <v>2026</v>
      </c>
      <c r="C283" t="s">
        <v>30</v>
      </c>
      <c r="D283" t="s">
        <v>13</v>
      </c>
      <c r="E283" t="s">
        <v>65</v>
      </c>
      <c r="F283" s="13" cm="1">
        <f t="array" ref="F283">_xlfn.SWITCH(B283,
2024,INDEX('2024_budget'!$B$59:$M$69,MATCH(E283,'2024_budget'!$A$59:$A$69,0),MATCH(C283,'2024_budget'!$B$58:$M$58,0)),
2025,INDEX('2025_budget'!$B$59:$M$69,MATCH(E283,'2025_budget'!$A$59:$A$69,0),MATCH(C283,'2025_budget'!$B$58:$M$58,0)),
2026,INDEX('2026_budget'!$B$59:$M$69,MATCH(E283,'2026_budget'!$A$59:$A$69,0),MATCH(C283,'2026_budget'!$B$58:$M$58,0))
)</f>
        <v>506805.2</v>
      </c>
      <c r="G283" s="13" cm="1">
        <f t="array" ref="G283">_xlfn.SWITCH(B283,
2024,INDEX('2024_actual'!$B$59:$M$69,MATCH(E283,'2024_actual'!$A$59:$A$69,0),MATCH(C283,'2024_actual'!$B$58:$M$58,0)),
2025,INDEX('2025_actual'!$B$59:$M$69,MATCH(E283,'2025_actual'!$A$59:$A$69,0),MATCH(C283,'2025_actual'!$B$58:$M$58,0)),
2026,INDEX('2026_actual'!$B$59:$M$69,MATCH(E283,'2026_actual'!$A$59:$A$69,0),MATCH(C283,'2026_actual'!$B$58:$M$58,0))
)</f>
        <v>532700</v>
      </c>
      <c r="H283" s="13">
        <f t="shared" si="67"/>
        <v>25894.799999999988</v>
      </c>
      <c r="I283" s="10">
        <f t="shared" si="62"/>
        <v>5.1094187668161234E-2</v>
      </c>
      <c r="J283" s="6" t="str">
        <f t="shared" ref="J283:J288" si="68">IF(G283&lt;=F283,"F","U")</f>
        <v>U</v>
      </c>
    </row>
    <row r="284" spans="1:10" x14ac:dyDescent="0.35">
      <c r="A284" s="26">
        <v>46235</v>
      </c>
      <c r="B284">
        <v>2026</v>
      </c>
      <c r="C284" t="s">
        <v>30</v>
      </c>
      <c r="D284" t="s">
        <v>10</v>
      </c>
      <c r="E284" t="s">
        <v>66</v>
      </c>
      <c r="F284" s="13" cm="1">
        <f t="array" ref="F284">_xlfn.SWITCH(B284,
2024,INDEX('2024_budget'!$B$59:$M$69,MATCH(E284,'2024_budget'!$A$59:$A$69,0),MATCH(C284,'2024_budget'!$B$58:$M$58,0)),
2025,INDEX('2025_budget'!$B$59:$M$69,MATCH(E284,'2025_budget'!$A$59:$A$69,0),MATCH(C284,'2025_budget'!$B$58:$M$58,0)),
2026,INDEX('2026_budget'!$B$59:$M$69,MATCH(E284,'2026_budget'!$A$59:$A$69,0),MATCH(C284,'2026_budget'!$B$58:$M$58,0))
)</f>
        <v>1364196.3</v>
      </c>
      <c r="G284" s="13" cm="1">
        <f t="array" ref="G284">_xlfn.SWITCH(B284,
2024,INDEX('2024_actual'!$B$59:$M$69,MATCH(E284,'2024_actual'!$A$59:$A$69,0),MATCH(C284,'2024_actual'!$B$58:$M$58,0)),
2025,INDEX('2025_actual'!$B$59:$M$69,MATCH(E284,'2025_actual'!$A$59:$A$69,0),MATCH(C284,'2025_actual'!$B$58:$M$58,0)),
2026,INDEX('2026_actual'!$B$59:$M$69,MATCH(E284,'2026_actual'!$A$59:$A$69,0),MATCH(C284,'2026_actual'!$B$58:$M$58,0))
)</f>
        <v>1400500</v>
      </c>
      <c r="H284" s="13">
        <f t="shared" si="67"/>
        <v>36303.699999999953</v>
      </c>
      <c r="I284" s="10">
        <f t="shared" si="62"/>
        <v>2.6611786001765253E-2</v>
      </c>
      <c r="J284" s="6" t="str">
        <f t="shared" si="68"/>
        <v>U</v>
      </c>
    </row>
    <row r="285" spans="1:10" x14ac:dyDescent="0.35">
      <c r="A285" s="26">
        <v>46235</v>
      </c>
      <c r="B285">
        <v>2026</v>
      </c>
      <c r="C285" t="s">
        <v>30</v>
      </c>
      <c r="D285" t="s">
        <v>14</v>
      </c>
      <c r="E285" t="s">
        <v>67</v>
      </c>
      <c r="F285" s="13" cm="1">
        <f t="array" ref="F285">_xlfn.SWITCH(B285,
2024,INDEX('2024_budget'!$B$59:$M$69,MATCH(E285,'2024_budget'!$A$59:$A$69,0),MATCH(C285,'2024_budget'!$B$58:$M$58,0)),
2025,INDEX('2025_budget'!$B$59:$M$69,MATCH(E285,'2025_budget'!$A$59:$A$69,0),MATCH(C285,'2025_budget'!$B$58:$M$58,0)),
2026,INDEX('2026_budget'!$B$59:$M$69,MATCH(E285,'2026_budget'!$A$59:$A$69,0),MATCH(C285,'2026_budget'!$B$58:$M$58,0))
)</f>
        <v>283797.08333333331</v>
      </c>
      <c r="G285" s="13" cm="1">
        <f t="array" ref="G285">_xlfn.SWITCH(B285,
2024,INDEX('2024_actual'!$B$59:$M$69,MATCH(E285,'2024_actual'!$A$59:$A$69,0),MATCH(C285,'2024_actual'!$B$58:$M$58,0)),
2025,INDEX('2025_actual'!$B$59:$M$69,MATCH(E285,'2025_actual'!$A$59:$A$69,0),MATCH(C285,'2025_actual'!$B$58:$M$58,0)),
2026,INDEX('2026_actual'!$B$59:$M$69,MATCH(E285,'2026_actual'!$A$59:$A$69,0),MATCH(C285,'2026_actual'!$B$58:$M$58,0))
)</f>
        <v>284750</v>
      </c>
      <c r="H285" s="13">
        <f t="shared" si="67"/>
        <v>952.91666666668607</v>
      </c>
      <c r="I285" s="10">
        <f t="shared" si="62"/>
        <v>3.3577394646703948E-3</v>
      </c>
      <c r="J285" s="6" t="str">
        <f t="shared" si="68"/>
        <v>U</v>
      </c>
    </row>
    <row r="286" spans="1:10" x14ac:dyDescent="0.35">
      <c r="A286" s="26">
        <v>46235</v>
      </c>
      <c r="B286">
        <v>2026</v>
      </c>
      <c r="C286" t="s">
        <v>30</v>
      </c>
      <c r="D286" t="s">
        <v>12</v>
      </c>
      <c r="E286" t="s">
        <v>68</v>
      </c>
      <c r="F286" s="13" cm="1">
        <f t="array" ref="F286">_xlfn.SWITCH(B286,
2024,INDEX('2024_budget'!$B$59:$M$69,MATCH(E286,'2024_budget'!$A$59:$A$69,0),MATCH(C286,'2024_budget'!$B$58:$M$58,0)),
2025,INDEX('2025_budget'!$B$59:$M$69,MATCH(E286,'2025_budget'!$A$59:$A$69,0),MATCH(C286,'2025_budget'!$B$58:$M$58,0)),
2026,INDEX('2026_budget'!$B$59:$M$69,MATCH(E286,'2026_budget'!$A$59:$A$69,0),MATCH(C286,'2026_budget'!$B$58:$M$58,0))
)</f>
        <v>339635.4</v>
      </c>
      <c r="G286" s="13" cm="1">
        <f t="array" ref="G286">_xlfn.SWITCH(B286,
2024,INDEX('2024_actual'!$B$59:$M$69,MATCH(E286,'2024_actual'!$A$59:$A$69,0),MATCH(C286,'2024_actual'!$B$58:$M$58,0)),
2025,INDEX('2025_actual'!$B$59:$M$69,MATCH(E286,'2025_actual'!$A$59:$A$69,0),MATCH(C286,'2025_actual'!$B$58:$M$58,0)),
2026,INDEX('2026_actual'!$B$59:$M$69,MATCH(E286,'2026_actual'!$A$59:$A$69,0),MATCH(C286,'2026_actual'!$B$58:$M$58,0))
)</f>
        <v>339000</v>
      </c>
      <c r="H286" s="13">
        <f t="shared" si="67"/>
        <v>-635.40000000002328</v>
      </c>
      <c r="I286" s="10">
        <f t="shared" si="62"/>
        <v>-1.8708297191636185E-3</v>
      </c>
      <c r="J286" s="6" t="str">
        <f t="shared" si="68"/>
        <v>F</v>
      </c>
    </row>
    <row r="287" spans="1:10" x14ac:dyDescent="0.35">
      <c r="A287" s="26">
        <v>46235</v>
      </c>
      <c r="B287">
        <v>2026</v>
      </c>
      <c r="C287" t="s">
        <v>30</v>
      </c>
      <c r="D287" t="s">
        <v>15</v>
      </c>
      <c r="E287" t="s">
        <v>69</v>
      </c>
      <c r="F287" s="13" cm="1">
        <f t="array" ref="F287">_xlfn.SWITCH(B287,
2024,INDEX('2024_budget'!$B$59:$M$69,MATCH(E287,'2024_budget'!$A$59:$A$69,0),MATCH(C287,'2024_budget'!$B$58:$M$58,0)),
2025,INDEX('2025_budget'!$B$59:$M$69,MATCH(E287,'2025_budget'!$A$59:$A$69,0),MATCH(C287,'2025_budget'!$B$58:$M$58,0)),
2026,INDEX('2026_budget'!$B$59:$M$69,MATCH(E287,'2026_budget'!$A$59:$A$69,0),MATCH(C287,'2026_budget'!$B$58:$M$58,0))
)</f>
        <v>358515.15</v>
      </c>
      <c r="G287" s="13" cm="1">
        <f t="array" ref="G287">_xlfn.SWITCH(B287,
2024,INDEX('2024_actual'!$B$59:$M$69,MATCH(E287,'2024_actual'!$A$59:$A$69,0),MATCH(C287,'2024_actual'!$B$58:$M$58,0)),
2025,INDEX('2025_actual'!$B$59:$M$69,MATCH(E287,'2025_actual'!$A$59:$A$69,0),MATCH(C287,'2025_actual'!$B$58:$M$58,0)),
2026,INDEX('2026_actual'!$B$59:$M$69,MATCH(E287,'2026_actual'!$A$59:$A$69,0),MATCH(C287,'2026_actual'!$B$58:$M$58,0))
)</f>
        <v>359250</v>
      </c>
      <c r="H287" s="13">
        <f t="shared" si="67"/>
        <v>734.84999999997672</v>
      </c>
      <c r="I287" s="10">
        <f t="shared" si="62"/>
        <v>2.0497041756812138E-3</v>
      </c>
      <c r="J287" s="6" t="str">
        <f t="shared" si="68"/>
        <v>U</v>
      </c>
    </row>
    <row r="288" spans="1:10" x14ac:dyDescent="0.35">
      <c r="A288" s="26">
        <v>46235</v>
      </c>
      <c r="B288">
        <v>2026</v>
      </c>
      <c r="C288" t="s">
        <v>30</v>
      </c>
      <c r="D288" t="s">
        <v>146</v>
      </c>
      <c r="E288" t="s">
        <v>70</v>
      </c>
      <c r="F288" s="13" cm="1">
        <f t="array" ref="F288">_xlfn.SWITCH(B288,
2024,INDEX('2024_budget'!$B$59:$M$69,MATCH(E288,'2024_budget'!$A$59:$A$69,0),MATCH(C288,'2024_budget'!$B$58:$M$58,0)),
2025,INDEX('2025_budget'!$B$59:$M$69,MATCH(E288,'2025_budget'!$A$59:$A$69,0),MATCH(C288,'2025_budget'!$B$58:$M$58,0)),
2026,INDEX('2026_budget'!$B$59:$M$69,MATCH(E288,'2026_budget'!$A$59:$A$69,0),MATCH(C288,'2026_budget'!$B$58:$M$58,0))
)</f>
        <v>3714929.1333333333</v>
      </c>
      <c r="G288" s="13" cm="1">
        <f t="array" ref="G288">_xlfn.SWITCH(B288,
2024,INDEX('2024_actual'!$B$59:$M$69,MATCH(E288,'2024_actual'!$A$59:$A$69,0),MATCH(C288,'2024_actual'!$B$58:$M$58,0)),
2025,INDEX('2025_actual'!$B$59:$M$69,MATCH(E288,'2025_actual'!$A$59:$A$69,0),MATCH(C288,'2025_actual'!$B$58:$M$58,0)),
2026,INDEX('2026_actual'!$B$59:$M$69,MATCH(E288,'2026_actual'!$A$59:$A$69,0),MATCH(C288,'2026_actual'!$B$58:$M$58,0))
)</f>
        <v>3793200</v>
      </c>
      <c r="H288" s="13">
        <f t="shared" si="67"/>
        <v>78270.866666666698</v>
      </c>
      <c r="I288" s="10">
        <f t="shared" si="62"/>
        <v>2.1069275848187116E-2</v>
      </c>
      <c r="J288" s="6" t="str">
        <f t="shared" si="68"/>
        <v>U</v>
      </c>
    </row>
    <row r="289" spans="1:10" x14ac:dyDescent="0.35">
      <c r="A289" s="26">
        <v>46235</v>
      </c>
      <c r="B289">
        <v>2026</v>
      </c>
      <c r="C289" t="s">
        <v>30</v>
      </c>
      <c r="D289" t="s">
        <v>146</v>
      </c>
      <c r="E289" t="s">
        <v>71</v>
      </c>
      <c r="F289" s="13" cm="1">
        <f t="array" ref="F289">_xlfn.SWITCH(B289,
2024,INDEX('2024_budget'!$B$59:$M$69,MATCH(E289,'2024_budget'!$A$59:$A$69,0),MATCH(C289,'2024_budget'!$B$58:$M$58,0)),
2025,INDEX('2025_budget'!$B$59:$M$69,MATCH(E289,'2025_budget'!$A$59:$A$69,0),MATCH(C289,'2025_budget'!$B$58:$M$58,0)),
2026,INDEX('2026_budget'!$B$59:$M$69,MATCH(E289,'2026_budget'!$A$59:$A$69,0),MATCH(C289,'2026_budget'!$B$58:$M$58,0))
)</f>
        <v>517070.8666666667</v>
      </c>
      <c r="G289" s="13" cm="1">
        <f t="array" ref="G289">_xlfn.SWITCH(B289,
2024,INDEX('2024_actual'!$B$59:$M$69,MATCH(E289,'2024_actual'!$A$59:$A$69,0),MATCH(C289,'2024_actual'!$B$58:$M$58,0)),
2025,INDEX('2025_actual'!$B$59:$M$69,MATCH(E289,'2025_actual'!$A$59:$A$69,0),MATCH(C289,'2025_actual'!$B$58:$M$58,0)),
2026,INDEX('2026_actual'!$B$59:$M$69,MATCH(E289,'2026_actual'!$A$59:$A$69,0),MATCH(C289,'2026_actual'!$B$58:$M$58,0))
)</f>
        <v>626800</v>
      </c>
      <c r="H289" s="13">
        <f t="shared" si="67"/>
        <v>109729.1333333333</v>
      </c>
      <c r="I289" s="10">
        <f t="shared" si="62"/>
        <v>0.21221294876021499</v>
      </c>
      <c r="J289" s="6" t="str">
        <f>IF(G289&gt;=F289,"F","U")</f>
        <v>F</v>
      </c>
    </row>
    <row r="290" spans="1:10" x14ac:dyDescent="0.35">
      <c r="A290" s="26">
        <v>46266</v>
      </c>
      <c r="B290">
        <v>2026</v>
      </c>
      <c r="C290" t="s">
        <v>31</v>
      </c>
      <c r="D290" t="s">
        <v>146</v>
      </c>
      <c r="E290" t="s">
        <v>6</v>
      </c>
      <c r="F290" s="13" cm="1">
        <f t="array" ref="F290">_xlfn.SWITCH(B290,
2024,INDEX('2024_budget'!$B$59:$M$69,MATCH(E290,'2024_budget'!$A$59:$A$69,0),MATCH(C290,'2024_budget'!$B$58:$M$58,0)),
2025,INDEX('2025_budget'!$B$59:$M$69,MATCH(E290,'2025_budget'!$A$59:$A$69,0),MATCH(C290,'2025_budget'!$B$58:$M$58,0)),
2026,INDEX('2026_budget'!$B$59:$M$69,MATCH(E290,'2026_budget'!$A$59:$A$69,0),MATCH(C290,'2026_budget'!$B$58:$M$58,0))
)</f>
        <v>4761000</v>
      </c>
      <c r="G290" s="13" cm="1">
        <f t="array" ref="G290">_xlfn.SWITCH(B290,
2024,INDEX('2024_actual'!$B$59:$M$69,MATCH(E290,'2024_actual'!$A$59:$A$69,0),MATCH(C290,'2024_actual'!$B$58:$M$58,0)),
2025,INDEX('2025_actual'!$B$59:$M$69,MATCH(E290,'2025_actual'!$A$59:$A$69,0),MATCH(C290,'2025_actual'!$B$58:$M$58,0)),
2026,INDEX('2026_actual'!$B$59:$M$69,MATCH(E290,'2026_actual'!$A$59:$A$69,0),MATCH(C290,'2026_actual'!$B$58:$M$58,0))
)</f>
        <v>4900000</v>
      </c>
      <c r="H290" s="13">
        <f>G290-F290</f>
        <v>139000</v>
      </c>
      <c r="I290" s="10">
        <f t="shared" si="62"/>
        <v>2.9195547153959254E-2</v>
      </c>
      <c r="J290" s="6" t="str">
        <f>IF(G290&gt;=F290,"F","U")</f>
        <v>F</v>
      </c>
    </row>
    <row r="291" spans="1:10" x14ac:dyDescent="0.35">
      <c r="A291" s="26">
        <v>46266</v>
      </c>
      <c r="B291">
        <v>2026</v>
      </c>
      <c r="C291" t="s">
        <v>31</v>
      </c>
      <c r="D291" t="s">
        <v>11</v>
      </c>
      <c r="E291" t="s">
        <v>64</v>
      </c>
      <c r="F291" s="13" cm="1">
        <f t="array" ref="F291">_xlfn.SWITCH(B291,
2024,INDEX('2024_budget'!$B$59:$M$69,MATCH(E291,'2024_budget'!$A$59:$A$69,0),MATCH(C291,'2024_budget'!$B$58:$M$58,0)),
2025,INDEX('2025_budget'!$B$59:$M$69,MATCH(E291,'2025_budget'!$A$59:$A$69,0),MATCH(C291,'2025_budget'!$B$58:$M$58,0)),
2026,INDEX('2026_budget'!$B$59:$M$69,MATCH(E291,'2026_budget'!$A$59:$A$69,0),MATCH(C291,'2026_budget'!$B$58:$M$58,0))
)</f>
        <v>885785</v>
      </c>
      <c r="G291" s="13" cm="1">
        <f t="array" ref="G291">_xlfn.SWITCH(B291,
2024,INDEX('2024_actual'!$B$59:$M$69,MATCH(E291,'2024_actual'!$A$59:$A$69,0),MATCH(C291,'2024_actual'!$B$58:$M$58,0)),
2025,INDEX('2025_actual'!$B$59:$M$69,MATCH(E291,'2025_actual'!$A$59:$A$69,0),MATCH(C291,'2025_actual'!$B$58:$M$58,0)),
2026,INDEX('2026_actual'!$B$59:$M$69,MATCH(E291,'2026_actual'!$A$59:$A$69,0),MATCH(C291,'2026_actual'!$B$58:$M$58,0))
)</f>
        <v>905000</v>
      </c>
      <c r="H291" s="13">
        <f t="shared" ref="H291:H298" si="69">G291-F291</f>
        <v>19215</v>
      </c>
      <c r="I291" s="10">
        <f t="shared" si="62"/>
        <v>2.1692622927685611E-2</v>
      </c>
      <c r="J291" s="6" t="str">
        <f>IF(G291&lt;=F291,"F","U")</f>
        <v>U</v>
      </c>
    </row>
    <row r="292" spans="1:10" x14ac:dyDescent="0.35">
      <c r="A292" s="26">
        <v>46266</v>
      </c>
      <c r="B292">
        <v>2026</v>
      </c>
      <c r="C292" t="s">
        <v>31</v>
      </c>
      <c r="D292" t="s">
        <v>13</v>
      </c>
      <c r="E292" t="s">
        <v>65</v>
      </c>
      <c r="F292" s="13" cm="1">
        <f t="array" ref="F292">_xlfn.SWITCH(B292,
2024,INDEX('2024_budget'!$B$59:$M$69,MATCH(E292,'2024_budget'!$A$59:$A$69,0),MATCH(C292,'2024_budget'!$B$58:$M$58,0)),
2025,INDEX('2025_budget'!$B$59:$M$69,MATCH(E292,'2025_budget'!$A$59:$A$69,0),MATCH(C292,'2025_budget'!$B$58:$M$58,0)),
2026,INDEX('2026_budget'!$B$59:$M$69,MATCH(E292,'2026_budget'!$A$59:$A$69,0),MATCH(C292,'2026_budget'!$B$58:$M$58,0))
)</f>
        <v>538545.19999999995</v>
      </c>
      <c r="G292" s="13" cm="1">
        <f t="array" ref="G292">_xlfn.SWITCH(B292,
2024,INDEX('2024_actual'!$B$59:$M$69,MATCH(E292,'2024_actual'!$A$59:$A$69,0),MATCH(C292,'2024_actual'!$B$58:$M$58,0)),
2025,INDEX('2025_actual'!$B$59:$M$69,MATCH(E292,'2025_actual'!$A$59:$A$69,0),MATCH(C292,'2025_actual'!$B$58:$M$58,0)),
2026,INDEX('2026_actual'!$B$59:$M$69,MATCH(E292,'2026_actual'!$A$59:$A$69,0),MATCH(C292,'2026_actual'!$B$58:$M$58,0))
)</f>
        <v>553900</v>
      </c>
      <c r="H292" s="13">
        <f t="shared" si="69"/>
        <v>15354.800000000047</v>
      </c>
      <c r="I292" s="10">
        <f t="shared" si="62"/>
        <v>2.851162725060041E-2</v>
      </c>
      <c r="J292" s="6" t="str">
        <f t="shared" ref="J292:J297" si="70">IF(G292&lt;=F292,"F","U")</f>
        <v>U</v>
      </c>
    </row>
    <row r="293" spans="1:10" x14ac:dyDescent="0.35">
      <c r="A293" s="26">
        <v>46266</v>
      </c>
      <c r="B293">
        <v>2026</v>
      </c>
      <c r="C293" t="s">
        <v>31</v>
      </c>
      <c r="D293" t="s">
        <v>10</v>
      </c>
      <c r="E293" t="s">
        <v>66</v>
      </c>
      <c r="F293" s="13" cm="1">
        <f t="array" ref="F293">_xlfn.SWITCH(B293,
2024,INDEX('2024_budget'!$B$59:$M$69,MATCH(E293,'2024_budget'!$A$59:$A$69,0),MATCH(C293,'2024_budget'!$B$58:$M$58,0)),
2025,INDEX('2025_budget'!$B$59:$M$69,MATCH(E293,'2025_budget'!$A$59:$A$69,0),MATCH(C293,'2025_budget'!$B$58:$M$58,0)),
2026,INDEX('2026_budget'!$B$59:$M$69,MATCH(E293,'2026_budget'!$A$59:$A$69,0),MATCH(C293,'2026_budget'!$B$58:$M$58,0))
)</f>
        <v>1385356.3</v>
      </c>
      <c r="G293" s="13" cm="1">
        <f t="array" ref="G293">_xlfn.SWITCH(B293,
2024,INDEX('2024_actual'!$B$59:$M$69,MATCH(E293,'2024_actual'!$A$59:$A$69,0),MATCH(C293,'2024_actual'!$B$58:$M$58,0)),
2025,INDEX('2025_actual'!$B$59:$M$69,MATCH(E293,'2025_actual'!$A$59:$A$69,0),MATCH(C293,'2025_actual'!$B$58:$M$58,0)),
2026,INDEX('2026_actual'!$B$59:$M$69,MATCH(E293,'2026_actual'!$A$59:$A$69,0),MATCH(C293,'2026_actual'!$B$58:$M$58,0))
)</f>
        <v>1416500</v>
      </c>
      <c r="H293" s="13">
        <f t="shared" si="69"/>
        <v>31143.699999999953</v>
      </c>
      <c r="I293" s="10">
        <f t="shared" si="62"/>
        <v>2.2480642705418059E-2</v>
      </c>
      <c r="J293" s="6" t="str">
        <f t="shared" si="70"/>
        <v>U</v>
      </c>
    </row>
    <row r="294" spans="1:10" x14ac:dyDescent="0.35">
      <c r="A294" s="26">
        <v>46266</v>
      </c>
      <c r="B294">
        <v>2026</v>
      </c>
      <c r="C294" t="s">
        <v>31</v>
      </c>
      <c r="D294" t="s">
        <v>14</v>
      </c>
      <c r="E294" t="s">
        <v>67</v>
      </c>
      <c r="F294" s="13" cm="1">
        <f t="array" ref="F294">_xlfn.SWITCH(B294,
2024,INDEX('2024_budget'!$B$59:$M$69,MATCH(E294,'2024_budget'!$A$59:$A$69,0),MATCH(C294,'2024_budget'!$B$58:$M$58,0)),
2025,INDEX('2025_budget'!$B$59:$M$69,MATCH(E294,'2025_budget'!$A$59:$A$69,0),MATCH(C294,'2025_budget'!$B$58:$M$58,0)),
2026,INDEX('2026_budget'!$B$59:$M$69,MATCH(E294,'2026_budget'!$A$59:$A$69,0),MATCH(C294,'2026_budget'!$B$58:$M$58,0))
)</f>
        <v>283797.08333333331</v>
      </c>
      <c r="G294" s="13" cm="1">
        <f t="array" ref="G294">_xlfn.SWITCH(B294,
2024,INDEX('2024_actual'!$B$59:$M$69,MATCH(E294,'2024_actual'!$A$59:$A$69,0),MATCH(C294,'2024_actual'!$B$58:$M$58,0)),
2025,INDEX('2025_actual'!$B$59:$M$69,MATCH(E294,'2025_actual'!$A$59:$A$69,0),MATCH(C294,'2025_actual'!$B$58:$M$58,0)),
2026,INDEX('2026_actual'!$B$59:$M$69,MATCH(E294,'2026_actual'!$A$59:$A$69,0),MATCH(C294,'2026_actual'!$B$58:$M$58,0))
)</f>
        <v>286950</v>
      </c>
      <c r="H294" s="13">
        <f t="shared" si="69"/>
        <v>3152.9166666666861</v>
      </c>
      <c r="I294" s="10">
        <f t="shared" si="62"/>
        <v>1.1109757118128779E-2</v>
      </c>
      <c r="J294" s="6" t="str">
        <f t="shared" si="70"/>
        <v>U</v>
      </c>
    </row>
    <row r="295" spans="1:10" x14ac:dyDescent="0.35">
      <c r="A295" s="26">
        <v>46266</v>
      </c>
      <c r="B295">
        <v>2026</v>
      </c>
      <c r="C295" t="s">
        <v>31</v>
      </c>
      <c r="D295" t="s">
        <v>12</v>
      </c>
      <c r="E295" t="s">
        <v>68</v>
      </c>
      <c r="F295" s="13" cm="1">
        <f t="array" ref="F295">_xlfn.SWITCH(B295,
2024,INDEX('2024_budget'!$B$59:$M$69,MATCH(E295,'2024_budget'!$A$59:$A$69,0),MATCH(C295,'2024_budget'!$B$58:$M$58,0)),
2025,INDEX('2025_budget'!$B$59:$M$69,MATCH(E295,'2025_budget'!$A$59:$A$69,0),MATCH(C295,'2025_budget'!$B$58:$M$58,0)),
2026,INDEX('2026_budget'!$B$59:$M$69,MATCH(E295,'2026_budget'!$A$59:$A$69,0),MATCH(C295,'2026_budget'!$B$58:$M$58,0))
)</f>
        <v>339635.4</v>
      </c>
      <c r="G295" s="13" cm="1">
        <f t="array" ref="G295">_xlfn.SWITCH(B295,
2024,INDEX('2024_actual'!$B$59:$M$69,MATCH(E295,'2024_actual'!$A$59:$A$69,0),MATCH(C295,'2024_actual'!$B$58:$M$58,0)),
2025,INDEX('2025_actual'!$B$59:$M$69,MATCH(E295,'2025_actual'!$A$59:$A$69,0),MATCH(C295,'2025_actual'!$B$58:$M$58,0)),
2026,INDEX('2026_actual'!$B$59:$M$69,MATCH(E295,'2026_actual'!$A$59:$A$69,0),MATCH(C295,'2026_actual'!$B$58:$M$58,0))
)</f>
        <v>340200</v>
      </c>
      <c r="H295" s="13">
        <f t="shared" si="69"/>
        <v>564.59999999997672</v>
      </c>
      <c r="I295" s="10">
        <f t="shared" si="62"/>
        <v>1.662370883600404E-3</v>
      </c>
      <c r="J295" s="6" t="str">
        <f t="shared" si="70"/>
        <v>U</v>
      </c>
    </row>
    <row r="296" spans="1:10" x14ac:dyDescent="0.35">
      <c r="A296" s="26">
        <v>46266</v>
      </c>
      <c r="B296">
        <v>2026</v>
      </c>
      <c r="C296" t="s">
        <v>31</v>
      </c>
      <c r="D296" t="s">
        <v>15</v>
      </c>
      <c r="E296" t="s">
        <v>69</v>
      </c>
      <c r="F296" s="13" cm="1">
        <f t="array" ref="F296">_xlfn.SWITCH(B296,
2024,INDEX('2024_budget'!$B$59:$M$69,MATCH(E296,'2024_budget'!$A$59:$A$69,0),MATCH(C296,'2024_budget'!$B$58:$M$58,0)),
2025,INDEX('2025_budget'!$B$59:$M$69,MATCH(E296,'2025_budget'!$A$59:$A$69,0),MATCH(C296,'2025_budget'!$B$58:$M$58,0)),
2026,INDEX('2026_budget'!$B$59:$M$69,MATCH(E296,'2026_budget'!$A$59:$A$69,0),MATCH(C296,'2026_budget'!$B$58:$M$58,0))
)</f>
        <v>358515.15</v>
      </c>
      <c r="G296" s="13" cm="1">
        <f t="array" ref="G296">_xlfn.SWITCH(B296,
2024,INDEX('2024_actual'!$B$59:$M$69,MATCH(E296,'2024_actual'!$A$59:$A$69,0),MATCH(C296,'2024_actual'!$B$58:$M$58,0)),
2025,INDEX('2025_actual'!$B$59:$M$69,MATCH(E296,'2025_actual'!$A$59:$A$69,0),MATCH(C296,'2025_actual'!$B$58:$M$58,0)),
2026,INDEX('2026_actual'!$B$59:$M$69,MATCH(E296,'2026_actual'!$A$59:$A$69,0),MATCH(C296,'2026_actual'!$B$58:$M$58,0))
)</f>
        <v>361450</v>
      </c>
      <c r="H296" s="13">
        <f t="shared" si="69"/>
        <v>2934.8499999999767</v>
      </c>
      <c r="I296" s="10">
        <f t="shared" si="62"/>
        <v>8.1861254677800272E-3</v>
      </c>
      <c r="J296" s="6" t="str">
        <f t="shared" si="70"/>
        <v>U</v>
      </c>
    </row>
    <row r="297" spans="1:10" x14ac:dyDescent="0.35">
      <c r="A297" s="26">
        <v>46266</v>
      </c>
      <c r="B297">
        <v>2026</v>
      </c>
      <c r="C297" t="s">
        <v>31</v>
      </c>
      <c r="D297" t="s">
        <v>146</v>
      </c>
      <c r="E297" t="s">
        <v>70</v>
      </c>
      <c r="F297" s="13" cm="1">
        <f t="array" ref="F297">_xlfn.SWITCH(B297,
2024,INDEX('2024_budget'!$B$59:$M$69,MATCH(E297,'2024_budget'!$A$59:$A$69,0),MATCH(C297,'2024_budget'!$B$58:$M$58,0)),
2025,INDEX('2025_budget'!$B$59:$M$69,MATCH(E297,'2025_budget'!$A$59:$A$69,0),MATCH(C297,'2025_budget'!$B$58:$M$58,0)),
2026,INDEX('2026_budget'!$B$59:$M$69,MATCH(E297,'2026_budget'!$A$59:$A$69,0),MATCH(C297,'2026_budget'!$B$58:$M$58,0))
)</f>
        <v>3791634.1333333333</v>
      </c>
      <c r="G297" s="13" cm="1">
        <f t="array" ref="G297">_xlfn.SWITCH(B297,
2024,INDEX('2024_actual'!$B$59:$M$69,MATCH(E297,'2024_actual'!$A$59:$A$69,0),MATCH(C297,'2024_actual'!$B$58:$M$58,0)),
2025,INDEX('2025_actual'!$B$59:$M$69,MATCH(E297,'2025_actual'!$A$59:$A$69,0),MATCH(C297,'2025_actual'!$B$58:$M$58,0)),
2026,INDEX('2026_actual'!$B$59:$M$69,MATCH(E297,'2026_actual'!$A$59:$A$69,0),MATCH(C297,'2026_actual'!$B$58:$M$58,0))
)</f>
        <v>3864000</v>
      </c>
      <c r="H297" s="13">
        <f t="shared" si="69"/>
        <v>72365.866666666698</v>
      </c>
      <c r="I297" s="10">
        <f t="shared" si="62"/>
        <v>1.9085667055921296E-2</v>
      </c>
      <c r="J297" s="6" t="str">
        <f t="shared" si="70"/>
        <v>U</v>
      </c>
    </row>
    <row r="298" spans="1:10" x14ac:dyDescent="0.35">
      <c r="A298" s="26">
        <v>46266</v>
      </c>
      <c r="B298">
        <v>2026</v>
      </c>
      <c r="C298" t="s">
        <v>31</v>
      </c>
      <c r="D298" t="s">
        <v>146</v>
      </c>
      <c r="E298" t="s">
        <v>71</v>
      </c>
      <c r="F298" s="13" cm="1">
        <f t="array" ref="F298">_xlfn.SWITCH(B298,
2024,INDEX('2024_budget'!$B$59:$M$69,MATCH(E298,'2024_budget'!$A$59:$A$69,0),MATCH(C298,'2024_budget'!$B$58:$M$58,0)),
2025,INDEX('2025_budget'!$B$59:$M$69,MATCH(E298,'2025_budget'!$A$59:$A$69,0),MATCH(C298,'2025_budget'!$B$58:$M$58,0)),
2026,INDEX('2026_budget'!$B$59:$M$69,MATCH(E298,'2026_budget'!$A$59:$A$69,0),MATCH(C298,'2026_budget'!$B$58:$M$58,0))
)</f>
        <v>969365.8666666667</v>
      </c>
      <c r="G298" s="13" cm="1">
        <f t="array" ref="G298">_xlfn.SWITCH(B298,
2024,INDEX('2024_actual'!$B$59:$M$69,MATCH(E298,'2024_actual'!$A$59:$A$69,0),MATCH(C298,'2024_actual'!$B$58:$M$58,0)),
2025,INDEX('2025_actual'!$B$59:$M$69,MATCH(E298,'2025_actual'!$A$59:$A$69,0),MATCH(C298,'2025_actual'!$B$58:$M$58,0)),
2026,INDEX('2026_actual'!$B$59:$M$69,MATCH(E298,'2026_actual'!$A$59:$A$69,0),MATCH(C298,'2026_actual'!$B$58:$M$58,0))
)</f>
        <v>1036000</v>
      </c>
      <c r="H298" s="13">
        <f t="shared" si="69"/>
        <v>66634.133333333302</v>
      </c>
      <c r="I298" s="10">
        <f t="shared" si="62"/>
        <v>6.8739921246109448E-2</v>
      </c>
      <c r="J298" s="6" t="str">
        <f>IF(G298&gt;=F298,"F","U")</f>
        <v>F</v>
      </c>
    </row>
    <row r="299" spans="1:10" x14ac:dyDescent="0.35">
      <c r="A299" s="26">
        <v>46296</v>
      </c>
      <c r="B299">
        <v>2026</v>
      </c>
      <c r="C299" t="s">
        <v>32</v>
      </c>
      <c r="D299" t="s">
        <v>146</v>
      </c>
      <c r="E299" t="s">
        <v>6</v>
      </c>
      <c r="F299" s="13" cm="1">
        <f t="array" ref="F299">_xlfn.SWITCH(B299,
2024,INDEX('2024_budget'!$B$59:$M$69,MATCH(E299,'2024_budget'!$A$59:$A$69,0),MATCH(C299,'2024_budget'!$B$58:$M$58,0)),
2025,INDEX('2025_budget'!$B$59:$M$69,MATCH(E299,'2025_budget'!$A$59:$A$69,0),MATCH(C299,'2025_budget'!$B$58:$M$58,0)),
2026,INDEX('2026_budget'!$B$59:$M$69,MATCH(E299,'2026_budget'!$A$59:$A$69,0),MATCH(C299,'2026_budget'!$B$58:$M$58,0))
)</f>
        <v>4761000</v>
      </c>
      <c r="G299" s="13" cm="1">
        <f t="array" ref="G299">_xlfn.SWITCH(B299,
2024,INDEX('2024_actual'!$B$59:$M$69,MATCH(E299,'2024_actual'!$A$59:$A$69,0),MATCH(C299,'2024_actual'!$B$58:$M$58,0)),
2025,INDEX('2025_actual'!$B$59:$M$69,MATCH(E299,'2025_actual'!$A$59:$A$69,0),MATCH(C299,'2025_actual'!$B$58:$M$58,0)),
2026,INDEX('2026_actual'!$B$59:$M$69,MATCH(E299,'2026_actual'!$A$59:$A$69,0),MATCH(C299,'2026_actual'!$B$58:$M$58,0))
)</f>
        <v>4960000</v>
      </c>
      <c r="H299" s="13">
        <f>G299-F299</f>
        <v>199000</v>
      </c>
      <c r="I299" s="10">
        <f t="shared" si="62"/>
        <v>4.1797941608905695E-2</v>
      </c>
      <c r="J299" s="6" t="str">
        <f>IF(G299&gt;=F299,"F","U")</f>
        <v>F</v>
      </c>
    </row>
    <row r="300" spans="1:10" x14ac:dyDescent="0.35">
      <c r="A300" s="26">
        <v>46296</v>
      </c>
      <c r="B300">
        <v>2026</v>
      </c>
      <c r="C300" t="s">
        <v>32</v>
      </c>
      <c r="D300" t="s">
        <v>11</v>
      </c>
      <c r="E300" t="s">
        <v>64</v>
      </c>
      <c r="F300" s="13" cm="1">
        <f t="array" ref="F300">_xlfn.SWITCH(B300,
2024,INDEX('2024_budget'!$B$59:$M$69,MATCH(E300,'2024_budget'!$A$59:$A$69,0),MATCH(C300,'2024_budget'!$B$58:$M$58,0)),
2025,INDEX('2025_budget'!$B$59:$M$69,MATCH(E300,'2025_budget'!$A$59:$A$69,0),MATCH(C300,'2025_budget'!$B$58:$M$58,0)),
2026,INDEX('2026_budget'!$B$59:$M$69,MATCH(E300,'2026_budget'!$A$59:$A$69,0),MATCH(C300,'2026_budget'!$B$58:$M$58,0))
)</f>
        <v>885785</v>
      </c>
      <c r="G300" s="13" cm="1">
        <f t="array" ref="G300">_xlfn.SWITCH(B300,
2024,INDEX('2024_actual'!$B$59:$M$69,MATCH(E300,'2024_actual'!$A$59:$A$69,0),MATCH(C300,'2024_actual'!$B$58:$M$58,0)),
2025,INDEX('2025_actual'!$B$59:$M$69,MATCH(E300,'2025_actual'!$A$59:$A$69,0),MATCH(C300,'2025_actual'!$B$58:$M$58,0)),
2026,INDEX('2026_actual'!$B$59:$M$69,MATCH(E300,'2026_actual'!$A$59:$A$69,0),MATCH(C300,'2026_actual'!$B$58:$M$58,0))
)</f>
        <v>907000</v>
      </c>
      <c r="H300" s="13">
        <f t="shared" ref="H300:H307" si="71">G300-F300</f>
        <v>21215</v>
      </c>
      <c r="I300" s="10">
        <f t="shared" si="62"/>
        <v>2.3950507177249558E-2</v>
      </c>
      <c r="J300" s="6" t="str">
        <f>IF(G300&lt;=F300,"F","U")</f>
        <v>U</v>
      </c>
    </row>
    <row r="301" spans="1:10" x14ac:dyDescent="0.35">
      <c r="A301" s="26">
        <v>46296</v>
      </c>
      <c r="B301">
        <v>2026</v>
      </c>
      <c r="C301" t="s">
        <v>32</v>
      </c>
      <c r="D301" t="s">
        <v>13</v>
      </c>
      <c r="E301" t="s">
        <v>65</v>
      </c>
      <c r="F301" s="13" cm="1">
        <f t="array" ref="F301">_xlfn.SWITCH(B301,
2024,INDEX('2024_budget'!$B$59:$M$69,MATCH(E301,'2024_budget'!$A$59:$A$69,0),MATCH(C301,'2024_budget'!$B$58:$M$58,0)),
2025,INDEX('2025_budget'!$B$59:$M$69,MATCH(E301,'2025_budget'!$A$59:$A$69,0),MATCH(C301,'2025_budget'!$B$58:$M$58,0)),
2026,INDEX('2026_budget'!$B$59:$M$69,MATCH(E301,'2026_budget'!$A$59:$A$69,0),MATCH(C301,'2026_budget'!$B$58:$M$58,0))
)</f>
        <v>538545.19999999995</v>
      </c>
      <c r="G301" s="13" cm="1">
        <f t="array" ref="G301">_xlfn.SWITCH(B301,
2024,INDEX('2024_actual'!$B$59:$M$69,MATCH(E301,'2024_actual'!$A$59:$A$69,0),MATCH(C301,'2024_actual'!$B$58:$M$58,0)),
2025,INDEX('2025_actual'!$B$59:$M$69,MATCH(E301,'2025_actual'!$A$59:$A$69,0),MATCH(C301,'2025_actual'!$B$58:$M$58,0)),
2026,INDEX('2026_actual'!$B$59:$M$69,MATCH(E301,'2026_actual'!$A$59:$A$69,0),MATCH(C301,'2026_actual'!$B$58:$M$58,0))
)</f>
        <v>558900</v>
      </c>
      <c r="H301" s="13">
        <f t="shared" si="71"/>
        <v>20354.800000000047</v>
      </c>
      <c r="I301" s="10">
        <f t="shared" si="62"/>
        <v>3.7795899025745747E-2</v>
      </c>
      <c r="J301" s="6" t="str">
        <f t="shared" ref="J301:J306" si="72">IF(G301&lt;=F301,"F","U")</f>
        <v>U</v>
      </c>
    </row>
    <row r="302" spans="1:10" x14ac:dyDescent="0.35">
      <c r="A302" s="26">
        <v>46296</v>
      </c>
      <c r="B302">
        <v>2026</v>
      </c>
      <c r="C302" t="s">
        <v>32</v>
      </c>
      <c r="D302" t="s">
        <v>10</v>
      </c>
      <c r="E302" t="s">
        <v>66</v>
      </c>
      <c r="F302" s="13" cm="1">
        <f t="array" ref="F302">_xlfn.SWITCH(B302,
2024,INDEX('2024_budget'!$B$59:$M$69,MATCH(E302,'2024_budget'!$A$59:$A$69,0),MATCH(C302,'2024_budget'!$B$58:$M$58,0)),
2025,INDEX('2025_budget'!$B$59:$M$69,MATCH(E302,'2025_budget'!$A$59:$A$69,0),MATCH(C302,'2025_budget'!$B$58:$M$58,0)),
2026,INDEX('2026_budget'!$B$59:$M$69,MATCH(E302,'2026_budget'!$A$59:$A$69,0),MATCH(C302,'2026_budget'!$B$58:$M$58,0))
)</f>
        <v>1385356.3</v>
      </c>
      <c r="G302" s="13" cm="1">
        <f t="array" ref="G302">_xlfn.SWITCH(B302,
2024,INDEX('2024_actual'!$B$59:$M$69,MATCH(E302,'2024_actual'!$A$59:$A$69,0),MATCH(C302,'2024_actual'!$B$58:$M$58,0)),
2025,INDEX('2025_actual'!$B$59:$M$69,MATCH(E302,'2025_actual'!$A$59:$A$69,0),MATCH(C302,'2025_actual'!$B$58:$M$58,0)),
2026,INDEX('2026_actual'!$B$59:$M$69,MATCH(E302,'2026_actual'!$A$59:$A$69,0),MATCH(C302,'2026_actual'!$B$58:$M$58,0))
)</f>
        <v>1421500</v>
      </c>
      <c r="H302" s="13">
        <f t="shared" si="71"/>
        <v>36143.699999999953</v>
      </c>
      <c r="I302" s="10">
        <f t="shared" si="62"/>
        <v>2.6089822524357056E-2</v>
      </c>
      <c r="J302" s="6" t="str">
        <f t="shared" si="72"/>
        <v>U</v>
      </c>
    </row>
    <row r="303" spans="1:10" x14ac:dyDescent="0.35">
      <c r="A303" s="26">
        <v>46296</v>
      </c>
      <c r="B303">
        <v>2026</v>
      </c>
      <c r="C303" t="s">
        <v>32</v>
      </c>
      <c r="D303" t="s">
        <v>14</v>
      </c>
      <c r="E303" t="s">
        <v>67</v>
      </c>
      <c r="F303" s="13" cm="1">
        <f t="array" ref="F303">_xlfn.SWITCH(B303,
2024,INDEX('2024_budget'!$B$59:$M$69,MATCH(E303,'2024_budget'!$A$59:$A$69,0),MATCH(C303,'2024_budget'!$B$58:$M$58,0)),
2025,INDEX('2025_budget'!$B$59:$M$69,MATCH(E303,'2025_budget'!$A$59:$A$69,0),MATCH(C303,'2025_budget'!$B$58:$M$58,0)),
2026,INDEX('2026_budget'!$B$59:$M$69,MATCH(E303,'2026_budget'!$A$59:$A$69,0),MATCH(C303,'2026_budget'!$B$58:$M$58,0))
)</f>
        <v>283797.08333333331</v>
      </c>
      <c r="G303" s="13" cm="1">
        <f t="array" ref="G303">_xlfn.SWITCH(B303,
2024,INDEX('2024_actual'!$B$59:$M$69,MATCH(E303,'2024_actual'!$A$59:$A$69,0),MATCH(C303,'2024_actual'!$B$58:$M$58,0)),
2025,INDEX('2025_actual'!$B$59:$M$69,MATCH(E303,'2025_actual'!$A$59:$A$69,0),MATCH(C303,'2025_actual'!$B$58:$M$58,0)),
2026,INDEX('2026_actual'!$B$59:$M$69,MATCH(E303,'2026_actual'!$A$59:$A$69,0),MATCH(C303,'2026_actual'!$B$58:$M$58,0))
)</f>
        <v>286950</v>
      </c>
      <c r="H303" s="13">
        <f t="shared" si="71"/>
        <v>3152.9166666666861</v>
      </c>
      <c r="I303" s="10">
        <f t="shared" si="62"/>
        <v>1.1109757118128779E-2</v>
      </c>
      <c r="J303" s="6" t="str">
        <f t="shared" si="72"/>
        <v>U</v>
      </c>
    </row>
    <row r="304" spans="1:10" x14ac:dyDescent="0.35">
      <c r="A304" s="26">
        <v>46296</v>
      </c>
      <c r="B304">
        <v>2026</v>
      </c>
      <c r="C304" t="s">
        <v>32</v>
      </c>
      <c r="D304" t="s">
        <v>12</v>
      </c>
      <c r="E304" t="s">
        <v>68</v>
      </c>
      <c r="F304" s="13" cm="1">
        <f t="array" ref="F304">_xlfn.SWITCH(B304,
2024,INDEX('2024_budget'!$B$59:$M$69,MATCH(E304,'2024_budget'!$A$59:$A$69,0),MATCH(C304,'2024_budget'!$B$58:$M$58,0)),
2025,INDEX('2025_budget'!$B$59:$M$69,MATCH(E304,'2025_budget'!$A$59:$A$69,0),MATCH(C304,'2025_budget'!$B$58:$M$58,0)),
2026,INDEX('2026_budget'!$B$59:$M$69,MATCH(E304,'2026_budget'!$A$59:$A$69,0),MATCH(C304,'2026_budget'!$B$58:$M$58,0))
)</f>
        <v>339635.4</v>
      </c>
      <c r="G304" s="13" cm="1">
        <f t="array" ref="G304">_xlfn.SWITCH(B304,
2024,INDEX('2024_actual'!$B$59:$M$69,MATCH(E304,'2024_actual'!$A$59:$A$69,0),MATCH(C304,'2024_actual'!$B$58:$M$58,0)),
2025,INDEX('2025_actual'!$B$59:$M$69,MATCH(E304,'2025_actual'!$A$59:$A$69,0),MATCH(C304,'2025_actual'!$B$58:$M$58,0)),
2026,INDEX('2026_actual'!$B$59:$M$69,MATCH(E304,'2026_actual'!$A$59:$A$69,0),MATCH(C304,'2026_actual'!$B$58:$M$58,0))
)</f>
        <v>340200</v>
      </c>
      <c r="H304" s="13">
        <f t="shared" si="71"/>
        <v>564.59999999997672</v>
      </c>
      <c r="I304" s="10">
        <f t="shared" si="62"/>
        <v>1.662370883600404E-3</v>
      </c>
      <c r="J304" s="6" t="str">
        <f t="shared" si="72"/>
        <v>U</v>
      </c>
    </row>
    <row r="305" spans="1:10" x14ac:dyDescent="0.35">
      <c r="A305" s="26">
        <v>46296</v>
      </c>
      <c r="B305">
        <v>2026</v>
      </c>
      <c r="C305" t="s">
        <v>32</v>
      </c>
      <c r="D305" t="s">
        <v>15</v>
      </c>
      <c r="E305" t="s">
        <v>69</v>
      </c>
      <c r="F305" s="13" cm="1">
        <f t="array" ref="F305">_xlfn.SWITCH(B305,
2024,INDEX('2024_budget'!$B$59:$M$69,MATCH(E305,'2024_budget'!$A$59:$A$69,0),MATCH(C305,'2024_budget'!$B$58:$M$58,0)),
2025,INDEX('2025_budget'!$B$59:$M$69,MATCH(E305,'2025_budget'!$A$59:$A$69,0),MATCH(C305,'2025_budget'!$B$58:$M$58,0)),
2026,INDEX('2026_budget'!$B$59:$M$69,MATCH(E305,'2026_budget'!$A$59:$A$69,0),MATCH(C305,'2026_budget'!$B$58:$M$58,0))
)</f>
        <v>358515.15</v>
      </c>
      <c r="G305" s="13" cm="1">
        <f t="array" ref="G305">_xlfn.SWITCH(B305,
2024,INDEX('2024_actual'!$B$59:$M$69,MATCH(E305,'2024_actual'!$A$59:$A$69,0),MATCH(C305,'2024_actual'!$B$58:$M$58,0)),
2025,INDEX('2025_actual'!$B$59:$M$69,MATCH(E305,'2025_actual'!$A$59:$A$69,0),MATCH(C305,'2025_actual'!$B$58:$M$58,0)),
2026,INDEX('2026_actual'!$B$59:$M$69,MATCH(E305,'2026_actual'!$A$59:$A$69,0),MATCH(C305,'2026_actual'!$B$58:$M$58,0))
)</f>
        <v>361450</v>
      </c>
      <c r="H305" s="13">
        <f t="shared" si="71"/>
        <v>2934.8499999999767</v>
      </c>
      <c r="I305" s="10">
        <f t="shared" si="62"/>
        <v>8.1861254677800272E-3</v>
      </c>
      <c r="J305" s="6" t="str">
        <f t="shared" si="72"/>
        <v>U</v>
      </c>
    </row>
    <row r="306" spans="1:10" x14ac:dyDescent="0.35">
      <c r="A306" s="26">
        <v>46296</v>
      </c>
      <c r="B306">
        <v>2026</v>
      </c>
      <c r="C306" t="s">
        <v>32</v>
      </c>
      <c r="D306" t="s">
        <v>146</v>
      </c>
      <c r="E306" t="s">
        <v>70</v>
      </c>
      <c r="F306" s="13" cm="1">
        <f t="array" ref="F306">_xlfn.SWITCH(B306,
2024,INDEX('2024_budget'!$B$59:$M$69,MATCH(E306,'2024_budget'!$A$59:$A$69,0),MATCH(C306,'2024_budget'!$B$58:$M$58,0)),
2025,INDEX('2025_budget'!$B$59:$M$69,MATCH(E306,'2025_budget'!$A$59:$A$69,0),MATCH(C306,'2025_budget'!$B$58:$M$58,0)),
2026,INDEX('2026_budget'!$B$59:$M$69,MATCH(E306,'2026_budget'!$A$59:$A$69,0),MATCH(C306,'2026_budget'!$B$58:$M$58,0))
)</f>
        <v>3791634.1333333333</v>
      </c>
      <c r="G306" s="13" cm="1">
        <f t="array" ref="G306">_xlfn.SWITCH(B306,
2024,INDEX('2024_actual'!$B$59:$M$69,MATCH(E306,'2024_actual'!$A$59:$A$69,0),MATCH(C306,'2024_actual'!$B$58:$M$58,0)),
2025,INDEX('2025_actual'!$B$59:$M$69,MATCH(E306,'2025_actual'!$A$59:$A$69,0),MATCH(C306,'2025_actual'!$B$58:$M$58,0)),
2026,INDEX('2026_actual'!$B$59:$M$69,MATCH(E306,'2026_actual'!$A$59:$A$69,0),MATCH(C306,'2026_actual'!$B$58:$M$58,0))
)</f>
        <v>3876000</v>
      </c>
      <c r="H306" s="13">
        <f t="shared" si="71"/>
        <v>84365.866666666698</v>
      </c>
      <c r="I306" s="10">
        <f t="shared" si="62"/>
        <v>2.2250529375970742E-2</v>
      </c>
      <c r="J306" s="6" t="str">
        <f t="shared" si="72"/>
        <v>U</v>
      </c>
    </row>
    <row r="307" spans="1:10" x14ac:dyDescent="0.35">
      <c r="A307" s="26">
        <v>46296</v>
      </c>
      <c r="B307">
        <v>2026</v>
      </c>
      <c r="C307" t="s">
        <v>32</v>
      </c>
      <c r="D307" t="s">
        <v>146</v>
      </c>
      <c r="E307" t="s">
        <v>71</v>
      </c>
      <c r="F307" s="13" cm="1">
        <f t="array" ref="F307">_xlfn.SWITCH(B307,
2024,INDEX('2024_budget'!$B$59:$M$69,MATCH(E307,'2024_budget'!$A$59:$A$69,0),MATCH(C307,'2024_budget'!$B$58:$M$58,0)),
2025,INDEX('2025_budget'!$B$59:$M$69,MATCH(E307,'2025_budget'!$A$59:$A$69,0),MATCH(C307,'2025_budget'!$B$58:$M$58,0)),
2026,INDEX('2026_budget'!$B$59:$M$69,MATCH(E307,'2026_budget'!$A$59:$A$69,0),MATCH(C307,'2026_budget'!$B$58:$M$58,0))
)</f>
        <v>969365.8666666667</v>
      </c>
      <c r="G307" s="13" cm="1">
        <f t="array" ref="G307">_xlfn.SWITCH(B307,
2024,INDEX('2024_actual'!$B$59:$M$69,MATCH(E307,'2024_actual'!$A$59:$A$69,0),MATCH(C307,'2024_actual'!$B$58:$M$58,0)),
2025,INDEX('2025_actual'!$B$59:$M$69,MATCH(E307,'2025_actual'!$A$59:$A$69,0),MATCH(C307,'2025_actual'!$B$58:$M$58,0)),
2026,INDEX('2026_actual'!$B$59:$M$69,MATCH(E307,'2026_actual'!$A$59:$A$69,0),MATCH(C307,'2026_actual'!$B$58:$M$58,0))
)</f>
        <v>1084000</v>
      </c>
      <c r="H307" s="13">
        <f t="shared" si="71"/>
        <v>114634.1333333333</v>
      </c>
      <c r="I307" s="10">
        <f t="shared" si="62"/>
        <v>0.11825682879419173</v>
      </c>
      <c r="J307" s="6" t="str">
        <f>IF(G307&gt;=F307,"F","U")</f>
        <v>F</v>
      </c>
    </row>
    <row r="308" spans="1:10" x14ac:dyDescent="0.35">
      <c r="A308" s="26">
        <v>46327</v>
      </c>
      <c r="B308">
        <v>2026</v>
      </c>
      <c r="C308" t="s">
        <v>33</v>
      </c>
      <c r="D308" t="s">
        <v>146</v>
      </c>
      <c r="E308" t="s">
        <v>6</v>
      </c>
      <c r="F308" s="13" cm="1">
        <f t="array" ref="F308">_xlfn.SWITCH(B308,
2024,INDEX('2024_budget'!$B$59:$M$69,MATCH(E308,'2024_budget'!$A$59:$A$69,0),MATCH(C308,'2024_budget'!$B$58:$M$58,0)),
2025,INDEX('2025_budget'!$B$59:$M$69,MATCH(E308,'2025_budget'!$A$59:$A$69,0),MATCH(C308,'2025_budget'!$B$58:$M$58,0)),
2026,INDEX('2026_budget'!$B$59:$M$69,MATCH(E308,'2026_budget'!$A$59:$A$69,0),MATCH(C308,'2026_budget'!$B$58:$M$58,0))
)</f>
        <v>4761000</v>
      </c>
      <c r="G308" s="13" cm="1">
        <f t="array" ref="G308">_xlfn.SWITCH(B308,
2024,INDEX('2024_actual'!$B$59:$M$69,MATCH(E308,'2024_actual'!$A$59:$A$69,0),MATCH(C308,'2024_actual'!$B$58:$M$58,0)),
2025,INDEX('2025_actual'!$B$59:$M$69,MATCH(E308,'2025_actual'!$A$59:$A$69,0),MATCH(C308,'2025_actual'!$B$58:$M$58,0)),
2026,INDEX('2026_actual'!$B$59:$M$69,MATCH(E308,'2026_actual'!$A$59:$A$69,0),MATCH(C308,'2026_actual'!$B$58:$M$58,0))
)</f>
        <v>5020000</v>
      </c>
      <c r="H308" s="13">
        <f>G308-F308</f>
        <v>259000</v>
      </c>
      <c r="I308" s="10">
        <f t="shared" si="62"/>
        <v>5.4400336063852132E-2</v>
      </c>
      <c r="J308" s="6" t="str">
        <f>IF(G308&gt;=F308,"F","U")</f>
        <v>F</v>
      </c>
    </row>
    <row r="309" spans="1:10" x14ac:dyDescent="0.35">
      <c r="A309" s="26">
        <v>46327</v>
      </c>
      <c r="B309">
        <v>2026</v>
      </c>
      <c r="C309" t="s">
        <v>33</v>
      </c>
      <c r="D309" t="s">
        <v>11</v>
      </c>
      <c r="E309" t="s">
        <v>64</v>
      </c>
      <c r="F309" s="13" cm="1">
        <f t="array" ref="F309">_xlfn.SWITCH(B309,
2024,INDEX('2024_budget'!$B$59:$M$69,MATCH(E309,'2024_budget'!$A$59:$A$69,0),MATCH(C309,'2024_budget'!$B$58:$M$58,0)),
2025,INDEX('2025_budget'!$B$59:$M$69,MATCH(E309,'2025_budget'!$A$59:$A$69,0),MATCH(C309,'2025_budget'!$B$58:$M$58,0)),
2026,INDEX('2026_budget'!$B$59:$M$69,MATCH(E309,'2026_budget'!$A$59:$A$69,0),MATCH(C309,'2026_budget'!$B$58:$M$58,0))
)</f>
        <v>885785</v>
      </c>
      <c r="G309" s="13" cm="1">
        <f t="array" ref="G309">_xlfn.SWITCH(B309,
2024,INDEX('2024_actual'!$B$59:$M$69,MATCH(E309,'2024_actual'!$A$59:$A$69,0),MATCH(C309,'2024_actual'!$B$58:$M$58,0)),
2025,INDEX('2025_actual'!$B$59:$M$69,MATCH(E309,'2025_actual'!$A$59:$A$69,0),MATCH(C309,'2025_actual'!$B$58:$M$58,0)),
2026,INDEX('2026_actual'!$B$59:$M$69,MATCH(E309,'2026_actual'!$A$59:$A$69,0),MATCH(C309,'2026_actual'!$B$58:$M$58,0))
)</f>
        <v>917000</v>
      </c>
      <c r="H309" s="13">
        <f t="shared" ref="H309:H316" si="73">G309-F309</f>
        <v>31215</v>
      </c>
      <c r="I309" s="10">
        <f t="shared" si="62"/>
        <v>3.5239928425069289E-2</v>
      </c>
      <c r="J309" s="6" t="str">
        <f>IF(G309&lt;=F309,"F","U")</f>
        <v>U</v>
      </c>
    </row>
    <row r="310" spans="1:10" x14ac:dyDescent="0.35">
      <c r="A310" s="26">
        <v>46327</v>
      </c>
      <c r="B310">
        <v>2026</v>
      </c>
      <c r="C310" t="s">
        <v>33</v>
      </c>
      <c r="D310" t="s">
        <v>13</v>
      </c>
      <c r="E310" t="s">
        <v>65</v>
      </c>
      <c r="F310" s="13" cm="1">
        <f t="array" ref="F310">_xlfn.SWITCH(B310,
2024,INDEX('2024_budget'!$B$59:$M$69,MATCH(E310,'2024_budget'!$A$59:$A$69,0),MATCH(C310,'2024_budget'!$B$58:$M$58,0)),
2025,INDEX('2025_budget'!$B$59:$M$69,MATCH(E310,'2025_budget'!$A$59:$A$69,0),MATCH(C310,'2025_budget'!$B$58:$M$58,0)),
2026,INDEX('2026_budget'!$B$59:$M$69,MATCH(E310,'2026_budget'!$A$59:$A$69,0),MATCH(C310,'2026_budget'!$B$58:$M$58,0))
)</f>
        <v>538545.19999999995</v>
      </c>
      <c r="G310" s="13" cm="1">
        <f t="array" ref="G310">_xlfn.SWITCH(B310,
2024,INDEX('2024_actual'!$B$59:$M$69,MATCH(E310,'2024_actual'!$A$59:$A$69,0),MATCH(C310,'2024_actual'!$B$58:$M$58,0)),
2025,INDEX('2025_actual'!$B$59:$M$69,MATCH(E310,'2025_actual'!$A$59:$A$69,0),MATCH(C310,'2025_actual'!$B$58:$M$58,0)),
2026,INDEX('2026_actual'!$B$59:$M$69,MATCH(E310,'2026_actual'!$A$59:$A$69,0),MATCH(C310,'2026_actual'!$B$58:$M$58,0))
)</f>
        <v>565600</v>
      </c>
      <c r="H310" s="13">
        <f t="shared" si="73"/>
        <v>27054.800000000047</v>
      </c>
      <c r="I310" s="10">
        <f t="shared" si="62"/>
        <v>5.0236823204440499E-2</v>
      </c>
      <c r="J310" s="6" t="str">
        <f t="shared" ref="J310:J315" si="74">IF(G310&lt;=F310,"F","U")</f>
        <v>U</v>
      </c>
    </row>
    <row r="311" spans="1:10" x14ac:dyDescent="0.35">
      <c r="A311" s="26">
        <v>46327</v>
      </c>
      <c r="B311">
        <v>2026</v>
      </c>
      <c r="C311" t="s">
        <v>33</v>
      </c>
      <c r="D311" t="s">
        <v>10</v>
      </c>
      <c r="E311" t="s">
        <v>66</v>
      </c>
      <c r="F311" s="13" cm="1">
        <f t="array" ref="F311">_xlfn.SWITCH(B311,
2024,INDEX('2024_budget'!$B$59:$M$69,MATCH(E311,'2024_budget'!$A$59:$A$69,0),MATCH(C311,'2024_budget'!$B$58:$M$58,0)),
2025,INDEX('2025_budget'!$B$59:$M$69,MATCH(E311,'2025_budget'!$A$59:$A$69,0),MATCH(C311,'2025_budget'!$B$58:$M$58,0)),
2026,INDEX('2026_budget'!$B$59:$M$69,MATCH(E311,'2026_budget'!$A$59:$A$69,0),MATCH(C311,'2026_budget'!$B$58:$M$58,0))
)</f>
        <v>1385356.3</v>
      </c>
      <c r="G311" s="13" cm="1">
        <f t="array" ref="G311">_xlfn.SWITCH(B311,
2024,INDEX('2024_actual'!$B$59:$M$69,MATCH(E311,'2024_actual'!$A$59:$A$69,0),MATCH(C311,'2024_actual'!$B$58:$M$58,0)),
2025,INDEX('2025_actual'!$B$59:$M$69,MATCH(E311,'2025_actual'!$A$59:$A$69,0),MATCH(C311,'2025_actual'!$B$58:$M$58,0)),
2026,INDEX('2026_actual'!$B$59:$M$69,MATCH(E311,'2026_actual'!$A$59:$A$69,0),MATCH(C311,'2026_actual'!$B$58:$M$58,0))
)</f>
        <v>1432500</v>
      </c>
      <c r="H311" s="13">
        <f t="shared" si="73"/>
        <v>47143.699999999953</v>
      </c>
      <c r="I311" s="10">
        <f t="shared" si="62"/>
        <v>3.4030018126022854E-2</v>
      </c>
      <c r="J311" s="6" t="str">
        <f t="shared" si="74"/>
        <v>U</v>
      </c>
    </row>
    <row r="312" spans="1:10" x14ac:dyDescent="0.35">
      <c r="A312" s="26">
        <v>46327</v>
      </c>
      <c r="B312">
        <v>2026</v>
      </c>
      <c r="C312" t="s">
        <v>33</v>
      </c>
      <c r="D312" t="s">
        <v>14</v>
      </c>
      <c r="E312" t="s">
        <v>67</v>
      </c>
      <c r="F312" s="13" cm="1">
        <f t="array" ref="F312">_xlfn.SWITCH(B312,
2024,INDEX('2024_budget'!$B$59:$M$69,MATCH(E312,'2024_budget'!$A$59:$A$69,0),MATCH(C312,'2024_budget'!$B$58:$M$58,0)),
2025,INDEX('2025_budget'!$B$59:$M$69,MATCH(E312,'2025_budget'!$A$59:$A$69,0),MATCH(C312,'2025_budget'!$B$58:$M$58,0)),
2026,INDEX('2026_budget'!$B$59:$M$69,MATCH(E312,'2026_budget'!$A$59:$A$69,0),MATCH(C312,'2026_budget'!$B$58:$M$58,0))
)</f>
        <v>283797.08333333331</v>
      </c>
      <c r="G312" s="13" cm="1">
        <f t="array" ref="G312">_xlfn.SWITCH(B312,
2024,INDEX('2024_actual'!$B$59:$M$69,MATCH(E312,'2024_actual'!$A$59:$A$69,0),MATCH(C312,'2024_actual'!$B$58:$M$58,0)),
2025,INDEX('2025_actual'!$B$59:$M$69,MATCH(E312,'2025_actual'!$A$59:$A$69,0),MATCH(C312,'2025_actual'!$B$58:$M$58,0)),
2026,INDEX('2026_actual'!$B$59:$M$69,MATCH(E312,'2026_actual'!$A$59:$A$69,0),MATCH(C312,'2026_actual'!$B$58:$M$58,0))
)</f>
        <v>289150</v>
      </c>
      <c r="H312" s="13">
        <f t="shared" si="73"/>
        <v>5352.9166666666861</v>
      </c>
      <c r="I312" s="10">
        <f t="shared" si="62"/>
        <v>1.8861774771587164E-2</v>
      </c>
      <c r="J312" s="6" t="str">
        <f t="shared" si="74"/>
        <v>U</v>
      </c>
    </row>
    <row r="313" spans="1:10" x14ac:dyDescent="0.35">
      <c r="A313" s="26">
        <v>46327</v>
      </c>
      <c r="B313">
        <v>2026</v>
      </c>
      <c r="C313" t="s">
        <v>33</v>
      </c>
      <c r="D313" t="s">
        <v>12</v>
      </c>
      <c r="E313" t="s">
        <v>68</v>
      </c>
      <c r="F313" s="13" cm="1">
        <f t="array" ref="F313">_xlfn.SWITCH(B313,
2024,INDEX('2024_budget'!$B$59:$M$69,MATCH(E313,'2024_budget'!$A$59:$A$69,0),MATCH(C313,'2024_budget'!$B$58:$M$58,0)),
2025,INDEX('2025_budget'!$B$59:$M$69,MATCH(E313,'2025_budget'!$A$59:$A$69,0),MATCH(C313,'2025_budget'!$B$58:$M$58,0)),
2026,INDEX('2026_budget'!$B$59:$M$69,MATCH(E313,'2026_budget'!$A$59:$A$69,0),MATCH(C313,'2026_budget'!$B$58:$M$58,0))
)</f>
        <v>339635.4</v>
      </c>
      <c r="G313" s="13" cm="1">
        <f t="array" ref="G313">_xlfn.SWITCH(B313,
2024,INDEX('2024_actual'!$B$59:$M$69,MATCH(E313,'2024_actual'!$A$59:$A$69,0),MATCH(C313,'2024_actual'!$B$58:$M$58,0)),
2025,INDEX('2025_actual'!$B$59:$M$69,MATCH(E313,'2025_actual'!$A$59:$A$69,0),MATCH(C313,'2025_actual'!$B$58:$M$58,0)),
2026,INDEX('2026_actual'!$B$59:$M$69,MATCH(E313,'2026_actual'!$A$59:$A$69,0),MATCH(C313,'2026_actual'!$B$58:$M$58,0))
)</f>
        <v>341900</v>
      </c>
      <c r="H313" s="13">
        <f t="shared" si="73"/>
        <v>2264.5999999999767</v>
      </c>
      <c r="I313" s="10">
        <f t="shared" si="62"/>
        <v>6.6677384041827692E-3</v>
      </c>
      <c r="J313" s="6" t="str">
        <f t="shared" si="74"/>
        <v>U</v>
      </c>
    </row>
    <row r="314" spans="1:10" x14ac:dyDescent="0.35">
      <c r="A314" s="26">
        <v>46327</v>
      </c>
      <c r="B314">
        <v>2026</v>
      </c>
      <c r="C314" t="s">
        <v>33</v>
      </c>
      <c r="D314" t="s">
        <v>15</v>
      </c>
      <c r="E314" t="s">
        <v>69</v>
      </c>
      <c r="F314" s="13" cm="1">
        <f t="array" ref="F314">_xlfn.SWITCH(B314,
2024,INDEX('2024_budget'!$B$59:$M$69,MATCH(E314,'2024_budget'!$A$59:$A$69,0),MATCH(C314,'2024_budget'!$B$58:$M$58,0)),
2025,INDEX('2025_budget'!$B$59:$M$69,MATCH(E314,'2025_budget'!$A$59:$A$69,0),MATCH(C314,'2025_budget'!$B$58:$M$58,0)),
2026,INDEX('2026_budget'!$B$59:$M$69,MATCH(E314,'2026_budget'!$A$59:$A$69,0),MATCH(C314,'2026_budget'!$B$58:$M$58,0))
)</f>
        <v>358515.15</v>
      </c>
      <c r="G314" s="13" cm="1">
        <f t="array" ref="G314">_xlfn.SWITCH(B314,
2024,INDEX('2024_actual'!$B$59:$M$69,MATCH(E314,'2024_actual'!$A$59:$A$69,0),MATCH(C314,'2024_actual'!$B$58:$M$58,0)),
2025,INDEX('2025_actual'!$B$59:$M$69,MATCH(E314,'2025_actual'!$A$59:$A$69,0),MATCH(C314,'2025_actual'!$B$58:$M$58,0)),
2026,INDEX('2026_actual'!$B$59:$M$69,MATCH(E314,'2026_actual'!$A$59:$A$69,0),MATCH(C314,'2026_actual'!$B$58:$M$58,0))
)</f>
        <v>363650</v>
      </c>
      <c r="H314" s="13">
        <f t="shared" si="73"/>
        <v>5134.8499999999767</v>
      </c>
      <c r="I314" s="10">
        <f t="shared" si="62"/>
        <v>1.4322546759878841E-2</v>
      </c>
      <c r="J314" s="6" t="str">
        <f t="shared" si="74"/>
        <v>U</v>
      </c>
    </row>
    <row r="315" spans="1:10" x14ac:dyDescent="0.35">
      <c r="A315" s="26">
        <v>46327</v>
      </c>
      <c r="B315">
        <v>2026</v>
      </c>
      <c r="C315" t="s">
        <v>33</v>
      </c>
      <c r="D315" t="s">
        <v>146</v>
      </c>
      <c r="E315" t="s">
        <v>70</v>
      </c>
      <c r="F315" s="13" cm="1">
        <f t="array" ref="F315">_xlfn.SWITCH(B315,
2024,INDEX('2024_budget'!$B$59:$M$69,MATCH(E315,'2024_budget'!$A$59:$A$69,0),MATCH(C315,'2024_budget'!$B$58:$M$58,0)),
2025,INDEX('2025_budget'!$B$59:$M$69,MATCH(E315,'2025_budget'!$A$59:$A$69,0),MATCH(C315,'2025_budget'!$B$58:$M$58,0)),
2026,INDEX('2026_budget'!$B$59:$M$69,MATCH(E315,'2026_budget'!$A$59:$A$69,0),MATCH(C315,'2026_budget'!$B$58:$M$58,0))
)</f>
        <v>3791634.1333333333</v>
      </c>
      <c r="G315" s="13" cm="1">
        <f t="array" ref="G315">_xlfn.SWITCH(B315,
2024,INDEX('2024_actual'!$B$59:$M$69,MATCH(E315,'2024_actual'!$A$59:$A$69,0),MATCH(C315,'2024_actual'!$B$58:$M$58,0)),
2025,INDEX('2025_actual'!$B$59:$M$69,MATCH(E315,'2025_actual'!$A$59:$A$69,0),MATCH(C315,'2025_actual'!$B$58:$M$58,0)),
2026,INDEX('2026_actual'!$B$59:$M$69,MATCH(E315,'2026_actual'!$A$59:$A$69,0),MATCH(C315,'2026_actual'!$B$58:$M$58,0))
)</f>
        <v>3909800</v>
      </c>
      <c r="H315" s="13">
        <f t="shared" si="73"/>
        <v>118165.8666666667</v>
      </c>
      <c r="I315" s="10">
        <f t="shared" si="62"/>
        <v>3.1164891577443347E-2</v>
      </c>
      <c r="J315" s="6" t="str">
        <f t="shared" si="74"/>
        <v>U</v>
      </c>
    </row>
    <row r="316" spans="1:10" x14ac:dyDescent="0.35">
      <c r="A316" s="26">
        <v>46327</v>
      </c>
      <c r="B316">
        <v>2026</v>
      </c>
      <c r="C316" t="s">
        <v>33</v>
      </c>
      <c r="D316" t="s">
        <v>146</v>
      </c>
      <c r="E316" t="s">
        <v>71</v>
      </c>
      <c r="F316" s="13" cm="1">
        <f t="array" ref="F316">_xlfn.SWITCH(B316,
2024,INDEX('2024_budget'!$B$59:$M$69,MATCH(E316,'2024_budget'!$A$59:$A$69,0),MATCH(C316,'2024_budget'!$B$58:$M$58,0)),
2025,INDEX('2025_budget'!$B$59:$M$69,MATCH(E316,'2025_budget'!$A$59:$A$69,0),MATCH(C316,'2025_budget'!$B$58:$M$58,0)),
2026,INDEX('2026_budget'!$B$59:$M$69,MATCH(E316,'2026_budget'!$A$59:$A$69,0),MATCH(C316,'2026_budget'!$B$58:$M$58,0))
)</f>
        <v>969365.8666666667</v>
      </c>
      <c r="G316" s="13" cm="1">
        <f t="array" ref="G316">_xlfn.SWITCH(B316,
2024,INDEX('2024_actual'!$B$59:$M$69,MATCH(E316,'2024_actual'!$A$59:$A$69,0),MATCH(C316,'2024_actual'!$B$58:$M$58,0)),
2025,INDEX('2025_actual'!$B$59:$M$69,MATCH(E316,'2025_actual'!$A$59:$A$69,0),MATCH(C316,'2025_actual'!$B$58:$M$58,0)),
2026,INDEX('2026_actual'!$B$59:$M$69,MATCH(E316,'2026_actual'!$A$59:$A$69,0),MATCH(C316,'2026_actual'!$B$58:$M$58,0))
)</f>
        <v>1110200</v>
      </c>
      <c r="H316" s="13">
        <f t="shared" si="73"/>
        <v>140834.1333333333</v>
      </c>
      <c r="I316" s="10">
        <f t="shared" si="62"/>
        <v>0.14528480749751999</v>
      </c>
      <c r="J316" s="6" t="str">
        <f>IF(G316&gt;=F316,"F","U")</f>
        <v>F</v>
      </c>
    </row>
    <row r="317" spans="1:10" x14ac:dyDescent="0.35">
      <c r="A317" s="26">
        <v>46357</v>
      </c>
      <c r="B317">
        <v>2026</v>
      </c>
      <c r="C317" t="s">
        <v>34</v>
      </c>
      <c r="D317" t="s">
        <v>146</v>
      </c>
      <c r="E317" t="s">
        <v>6</v>
      </c>
      <c r="F317" s="13" cm="1">
        <f t="array" ref="F317">_xlfn.SWITCH(B317,
2024,INDEX('2024_budget'!$B$59:$M$69,MATCH(E317,'2024_budget'!$A$59:$A$69,0),MATCH(C317,'2024_budget'!$B$58:$M$58,0)),
2025,INDEX('2025_budget'!$B$59:$M$69,MATCH(E317,'2025_budget'!$A$59:$A$69,0),MATCH(C317,'2025_budget'!$B$58:$M$58,0)),
2026,INDEX('2026_budget'!$B$59:$M$69,MATCH(E317,'2026_budget'!$A$59:$A$69,0),MATCH(C317,'2026_budget'!$B$58:$M$58,0))
)</f>
        <v>5819000</v>
      </c>
      <c r="G317" s="13" cm="1">
        <f t="array" ref="G317">_xlfn.SWITCH(B317,
2024,INDEX('2024_actual'!$B$59:$M$69,MATCH(E317,'2024_actual'!$A$59:$A$69,0),MATCH(C317,'2024_actual'!$B$58:$M$58,0)),
2025,INDEX('2025_actual'!$B$59:$M$69,MATCH(E317,'2025_actual'!$A$59:$A$69,0),MATCH(C317,'2025_actual'!$B$58:$M$58,0)),
2026,INDEX('2026_actual'!$B$59:$M$69,MATCH(E317,'2026_actual'!$A$59:$A$69,0),MATCH(C317,'2026_actual'!$B$58:$M$58,0))
)</f>
        <v>5930000</v>
      </c>
      <c r="H317" s="13">
        <f>G317-F317</f>
        <v>111000</v>
      </c>
      <c r="I317" s="10">
        <f t="shared" si="62"/>
        <v>1.9075442515896202E-2</v>
      </c>
      <c r="J317" s="6" t="str">
        <f>IF(G317&gt;=F317,"F","U")</f>
        <v>F</v>
      </c>
    </row>
    <row r="318" spans="1:10" x14ac:dyDescent="0.35">
      <c r="A318" s="26">
        <v>46357</v>
      </c>
      <c r="B318">
        <v>2026</v>
      </c>
      <c r="C318" t="s">
        <v>34</v>
      </c>
      <c r="D318" t="s">
        <v>11</v>
      </c>
      <c r="E318" t="s">
        <v>64</v>
      </c>
      <c r="F318" s="13" cm="1">
        <f t="array" ref="F318">_xlfn.SWITCH(B318,
2024,INDEX('2024_budget'!$B$59:$M$69,MATCH(E318,'2024_budget'!$A$59:$A$69,0),MATCH(C318,'2024_budget'!$B$58:$M$58,0)),
2025,INDEX('2025_budget'!$B$59:$M$69,MATCH(E318,'2025_budget'!$A$59:$A$69,0),MATCH(C318,'2025_budget'!$B$58:$M$58,0)),
2026,INDEX('2026_budget'!$B$59:$M$69,MATCH(E318,'2026_budget'!$A$59:$A$69,0),MATCH(C318,'2026_budget'!$B$58:$M$58,0))
)</f>
        <v>933395</v>
      </c>
      <c r="G318" s="13" cm="1">
        <f t="array" ref="G318">_xlfn.SWITCH(B318,
2024,INDEX('2024_actual'!$B$59:$M$69,MATCH(E318,'2024_actual'!$A$59:$A$69,0),MATCH(C318,'2024_actual'!$B$58:$M$58,0)),
2025,INDEX('2025_actual'!$B$59:$M$69,MATCH(E318,'2025_actual'!$A$59:$A$69,0),MATCH(C318,'2025_actual'!$B$58:$M$58,0)),
2026,INDEX('2026_actual'!$B$59:$M$69,MATCH(E318,'2026_actual'!$A$59:$A$69,0),MATCH(C318,'2026_actual'!$B$58:$M$58,0))
)</f>
        <v>960000</v>
      </c>
      <c r="H318" s="13">
        <f t="shared" ref="H318:H325" si="75">G318-F318</f>
        <v>26605</v>
      </c>
      <c r="I318" s="10">
        <f t="shared" si="62"/>
        <v>2.8503473877618798E-2</v>
      </c>
      <c r="J318" s="6" t="str">
        <f>IF(G318&lt;=F318,"F","U")</f>
        <v>U</v>
      </c>
    </row>
    <row r="319" spans="1:10" x14ac:dyDescent="0.35">
      <c r="A319" s="26">
        <v>46357</v>
      </c>
      <c r="B319">
        <v>2026</v>
      </c>
      <c r="C319" t="s">
        <v>34</v>
      </c>
      <c r="D319" t="s">
        <v>13</v>
      </c>
      <c r="E319" t="s">
        <v>65</v>
      </c>
      <c r="F319" s="13" cm="1">
        <f t="array" ref="F319">_xlfn.SWITCH(B319,
2024,INDEX('2024_budget'!$B$59:$M$69,MATCH(E319,'2024_budget'!$A$59:$A$69,0),MATCH(C319,'2024_budget'!$B$58:$M$58,0)),
2025,INDEX('2025_budget'!$B$59:$M$69,MATCH(E319,'2025_budget'!$A$59:$A$69,0),MATCH(C319,'2025_budget'!$B$58:$M$58,0)),
2026,INDEX('2026_budget'!$B$59:$M$69,MATCH(E319,'2026_budget'!$A$59:$A$69,0),MATCH(C319,'2026_budget'!$B$58:$M$58,0))
)</f>
        <v>602025.19999999995</v>
      </c>
      <c r="G319" s="13" cm="1">
        <f t="array" ref="G319">_xlfn.SWITCH(B319,
2024,INDEX('2024_actual'!$B$59:$M$69,MATCH(E319,'2024_actual'!$A$59:$A$69,0),MATCH(C319,'2024_actual'!$B$58:$M$58,0)),
2025,INDEX('2025_actual'!$B$59:$M$69,MATCH(E319,'2025_actual'!$A$59:$A$69,0),MATCH(C319,'2025_actual'!$B$58:$M$58,0)),
2026,INDEX('2026_actual'!$B$59:$M$69,MATCH(E319,'2026_actual'!$A$59:$A$69,0),MATCH(C319,'2026_actual'!$B$58:$M$58,0))
)</f>
        <v>605600</v>
      </c>
      <c r="H319" s="13">
        <f t="shared" si="75"/>
        <v>3574.8000000000466</v>
      </c>
      <c r="I319" s="10">
        <f t="shared" si="62"/>
        <v>5.9379574144073155E-3</v>
      </c>
      <c r="J319" s="6" t="str">
        <f t="shared" ref="J319:J324" si="76">IF(G319&lt;=F319,"F","U")</f>
        <v>U</v>
      </c>
    </row>
    <row r="320" spans="1:10" x14ac:dyDescent="0.35">
      <c r="A320" s="26">
        <v>46357</v>
      </c>
      <c r="B320">
        <v>2026</v>
      </c>
      <c r="C320" t="s">
        <v>34</v>
      </c>
      <c r="D320" t="s">
        <v>10</v>
      </c>
      <c r="E320" t="s">
        <v>66</v>
      </c>
      <c r="F320" s="13" cm="1">
        <f t="array" ref="F320">_xlfn.SWITCH(B320,
2024,INDEX('2024_budget'!$B$59:$M$69,MATCH(E320,'2024_budget'!$A$59:$A$69,0),MATCH(C320,'2024_budget'!$B$58:$M$58,0)),
2025,INDEX('2025_budget'!$B$59:$M$69,MATCH(E320,'2025_budget'!$A$59:$A$69,0),MATCH(C320,'2025_budget'!$B$58:$M$58,0)),
2026,INDEX('2026_budget'!$B$59:$M$69,MATCH(E320,'2026_budget'!$A$59:$A$69,0),MATCH(C320,'2026_budget'!$B$58:$M$58,0))
)</f>
        <v>1427676.3</v>
      </c>
      <c r="G320" s="13" cm="1">
        <f t="array" ref="G320">_xlfn.SWITCH(B320,
2024,INDEX('2024_actual'!$B$59:$M$69,MATCH(E320,'2024_actual'!$A$59:$A$69,0),MATCH(C320,'2024_actual'!$B$58:$M$58,0)),
2025,INDEX('2025_actual'!$B$59:$M$69,MATCH(E320,'2025_actual'!$A$59:$A$69,0),MATCH(C320,'2025_actual'!$B$58:$M$58,0)),
2026,INDEX('2026_actual'!$B$59:$M$69,MATCH(E320,'2026_actual'!$A$59:$A$69,0),MATCH(C320,'2026_actual'!$B$58:$M$58,0))
)</f>
        <v>1452500</v>
      </c>
      <c r="H320" s="13">
        <f t="shared" si="75"/>
        <v>24823.699999999953</v>
      </c>
      <c r="I320" s="10">
        <f t="shared" si="62"/>
        <v>1.7387484824115909E-2</v>
      </c>
      <c r="J320" s="6" t="str">
        <f t="shared" si="76"/>
        <v>U</v>
      </c>
    </row>
    <row r="321" spans="1:10" x14ac:dyDescent="0.35">
      <c r="A321" s="26">
        <v>46357</v>
      </c>
      <c r="B321">
        <v>2026</v>
      </c>
      <c r="C321" t="s">
        <v>34</v>
      </c>
      <c r="D321" t="s">
        <v>14</v>
      </c>
      <c r="E321" t="s">
        <v>67</v>
      </c>
      <c r="F321" s="13" cm="1">
        <f t="array" ref="F321">_xlfn.SWITCH(B321,
2024,INDEX('2024_budget'!$B$59:$M$69,MATCH(E321,'2024_budget'!$A$59:$A$69,0),MATCH(C321,'2024_budget'!$B$58:$M$58,0)),
2025,INDEX('2025_budget'!$B$59:$M$69,MATCH(E321,'2025_budget'!$A$59:$A$69,0),MATCH(C321,'2025_budget'!$B$58:$M$58,0)),
2026,INDEX('2026_budget'!$B$59:$M$69,MATCH(E321,'2026_budget'!$A$59:$A$69,0),MATCH(C321,'2026_budget'!$B$58:$M$58,0))
)</f>
        <v>283797.08333333331</v>
      </c>
      <c r="G321" s="13" cm="1">
        <f t="array" ref="G321">_xlfn.SWITCH(B321,
2024,INDEX('2024_actual'!$B$59:$M$69,MATCH(E321,'2024_actual'!$A$59:$A$69,0),MATCH(C321,'2024_actual'!$B$58:$M$58,0)),
2025,INDEX('2025_actual'!$B$59:$M$69,MATCH(E321,'2025_actual'!$A$59:$A$69,0),MATCH(C321,'2025_actual'!$B$58:$M$58,0)),
2026,INDEX('2026_actual'!$B$59:$M$69,MATCH(E321,'2026_actual'!$A$59:$A$69,0),MATCH(C321,'2026_actual'!$B$58:$M$58,0))
)</f>
        <v>294150</v>
      </c>
      <c r="H321" s="13">
        <f t="shared" si="75"/>
        <v>10352.916666666686</v>
      </c>
      <c r="I321" s="10">
        <f t="shared" si="62"/>
        <v>3.6479996711265311E-2</v>
      </c>
      <c r="J321" s="6" t="str">
        <f t="shared" si="76"/>
        <v>U</v>
      </c>
    </row>
    <row r="322" spans="1:10" x14ac:dyDescent="0.35">
      <c r="A322" s="26">
        <v>46357</v>
      </c>
      <c r="B322">
        <v>2026</v>
      </c>
      <c r="C322" t="s">
        <v>34</v>
      </c>
      <c r="D322" t="s">
        <v>12</v>
      </c>
      <c r="E322" t="s">
        <v>68</v>
      </c>
      <c r="F322" s="13" cm="1">
        <f t="array" ref="F322">_xlfn.SWITCH(B322,
2024,INDEX('2024_budget'!$B$59:$M$69,MATCH(E322,'2024_budget'!$A$59:$A$69,0),MATCH(C322,'2024_budget'!$B$58:$M$58,0)),
2025,INDEX('2025_budget'!$B$59:$M$69,MATCH(E322,'2025_budget'!$A$59:$A$69,0),MATCH(C322,'2025_budget'!$B$58:$M$58,0)),
2026,INDEX('2026_budget'!$B$59:$M$69,MATCH(E322,'2026_budget'!$A$59:$A$69,0),MATCH(C322,'2026_budget'!$B$58:$M$58,0))
)</f>
        <v>339635.4</v>
      </c>
      <c r="G322" s="13" cm="1">
        <f t="array" ref="G322">_xlfn.SWITCH(B322,
2024,INDEX('2024_actual'!$B$59:$M$69,MATCH(E322,'2024_actual'!$A$59:$A$69,0),MATCH(C322,'2024_actual'!$B$58:$M$58,0)),
2025,INDEX('2025_actual'!$B$59:$M$69,MATCH(E322,'2025_actual'!$A$59:$A$69,0),MATCH(C322,'2025_actual'!$B$58:$M$58,0)),
2026,INDEX('2026_actual'!$B$59:$M$69,MATCH(E322,'2026_actual'!$A$59:$A$69,0),MATCH(C322,'2026_actual'!$B$58:$M$58,0))
)</f>
        <v>341900</v>
      </c>
      <c r="H322" s="13">
        <f t="shared" si="75"/>
        <v>2264.5999999999767</v>
      </c>
      <c r="I322" s="10">
        <f t="shared" si="62"/>
        <v>6.6677384041827692E-3</v>
      </c>
      <c r="J322" s="6" t="str">
        <f t="shared" si="76"/>
        <v>U</v>
      </c>
    </row>
    <row r="323" spans="1:10" x14ac:dyDescent="0.35">
      <c r="A323" s="26">
        <v>46357</v>
      </c>
      <c r="B323">
        <v>2026</v>
      </c>
      <c r="C323" t="s">
        <v>34</v>
      </c>
      <c r="D323" t="s">
        <v>15</v>
      </c>
      <c r="E323" t="s">
        <v>69</v>
      </c>
      <c r="F323" s="13" cm="1">
        <f t="array" ref="F323">_xlfn.SWITCH(B323,
2024,INDEX('2024_budget'!$B$59:$M$69,MATCH(E323,'2024_budget'!$A$59:$A$69,0),MATCH(C323,'2024_budget'!$B$58:$M$58,0)),
2025,INDEX('2025_budget'!$B$59:$M$69,MATCH(E323,'2025_budget'!$A$59:$A$69,0),MATCH(C323,'2025_budget'!$B$58:$M$58,0)),
2026,INDEX('2026_budget'!$B$59:$M$69,MATCH(E323,'2026_budget'!$A$59:$A$69,0),MATCH(C323,'2026_budget'!$B$58:$M$58,0))
)</f>
        <v>358515.15</v>
      </c>
      <c r="G323" s="13" cm="1">
        <f t="array" ref="G323">_xlfn.SWITCH(B323,
2024,INDEX('2024_actual'!$B$59:$M$69,MATCH(E323,'2024_actual'!$A$59:$A$69,0),MATCH(C323,'2024_actual'!$B$58:$M$58,0)),
2025,INDEX('2025_actual'!$B$59:$M$69,MATCH(E323,'2025_actual'!$A$59:$A$69,0),MATCH(C323,'2025_actual'!$B$58:$M$58,0)),
2026,INDEX('2026_actual'!$B$59:$M$69,MATCH(E323,'2026_actual'!$A$59:$A$69,0),MATCH(C323,'2026_actual'!$B$58:$M$58,0))
)</f>
        <v>367650</v>
      </c>
      <c r="H323" s="13">
        <f t="shared" si="75"/>
        <v>9134.8499999999767</v>
      </c>
      <c r="I323" s="10">
        <f t="shared" ref="I323:I325" si="77">IF(AND(E323="Operating Profit",F323&lt;=0),NA(),IFERROR(H323/F323,0))</f>
        <v>2.5479676381876683E-2</v>
      </c>
      <c r="J323" s="6" t="str">
        <f t="shared" si="76"/>
        <v>U</v>
      </c>
    </row>
    <row r="324" spans="1:10" x14ac:dyDescent="0.35">
      <c r="A324" s="26">
        <v>46357</v>
      </c>
      <c r="B324">
        <v>2026</v>
      </c>
      <c r="C324" t="s">
        <v>34</v>
      </c>
      <c r="D324" t="s">
        <v>146</v>
      </c>
      <c r="E324" t="s">
        <v>70</v>
      </c>
      <c r="F324" s="13" cm="1">
        <f t="array" ref="F324">_xlfn.SWITCH(B324,
2024,INDEX('2024_budget'!$B$59:$M$69,MATCH(E324,'2024_budget'!$A$59:$A$69,0),MATCH(C324,'2024_budget'!$B$58:$M$58,0)),
2025,INDEX('2025_budget'!$B$59:$M$69,MATCH(E324,'2025_budget'!$A$59:$A$69,0),MATCH(C324,'2025_budget'!$B$58:$M$58,0)),
2026,INDEX('2026_budget'!$B$59:$M$69,MATCH(E324,'2026_budget'!$A$59:$A$69,0),MATCH(C324,'2026_budget'!$B$58:$M$58,0))
)</f>
        <v>3945044.1333333333</v>
      </c>
      <c r="G324" s="13" cm="1">
        <f t="array" ref="G324">_xlfn.SWITCH(B324,
2024,INDEX('2024_actual'!$B$59:$M$69,MATCH(E324,'2024_actual'!$A$59:$A$69,0),MATCH(C324,'2024_actual'!$B$58:$M$58,0)),
2025,INDEX('2025_actual'!$B$59:$M$69,MATCH(E324,'2025_actual'!$A$59:$A$69,0),MATCH(C324,'2025_actual'!$B$58:$M$58,0)),
2026,INDEX('2026_actual'!$B$59:$M$69,MATCH(E324,'2026_actual'!$A$59:$A$69,0),MATCH(C324,'2026_actual'!$B$58:$M$58,0))
)</f>
        <v>4021800</v>
      </c>
      <c r="H324" s="13">
        <f t="shared" si="75"/>
        <v>76755.866666666698</v>
      </c>
      <c r="I324" s="10">
        <f t="shared" si="77"/>
        <v>1.9456275791219717E-2</v>
      </c>
      <c r="J324" s="6" t="str">
        <f t="shared" si="76"/>
        <v>U</v>
      </c>
    </row>
    <row r="325" spans="1:10" x14ac:dyDescent="0.35">
      <c r="A325" s="26">
        <v>46357</v>
      </c>
      <c r="B325">
        <v>2026</v>
      </c>
      <c r="C325" t="s">
        <v>34</v>
      </c>
      <c r="D325" t="s">
        <v>146</v>
      </c>
      <c r="E325" t="s">
        <v>71</v>
      </c>
      <c r="F325" s="13" cm="1">
        <f t="array" ref="F325">_xlfn.SWITCH(B325,
2024,INDEX('2024_budget'!$B$59:$M$69,MATCH(E325,'2024_budget'!$A$59:$A$69,0),MATCH(C325,'2024_budget'!$B$58:$M$58,0)),
2025,INDEX('2025_budget'!$B$59:$M$69,MATCH(E325,'2025_budget'!$A$59:$A$69,0),MATCH(C325,'2025_budget'!$B$58:$M$58,0)),
2026,INDEX('2026_budget'!$B$59:$M$69,MATCH(E325,'2026_budget'!$A$59:$A$69,0),MATCH(C325,'2026_budget'!$B$58:$M$58,0))
)</f>
        <v>1873955.8666666667</v>
      </c>
      <c r="G325" s="13" cm="1">
        <f t="array" ref="G325">_xlfn.SWITCH(B325,
2024,INDEX('2024_actual'!$B$59:$M$69,MATCH(E325,'2024_actual'!$A$59:$A$69,0),MATCH(C325,'2024_actual'!$B$58:$M$58,0)),
2025,INDEX('2025_actual'!$B$59:$M$69,MATCH(E325,'2025_actual'!$A$59:$A$69,0),MATCH(C325,'2025_actual'!$B$58:$M$58,0)),
2026,INDEX('2026_actual'!$B$59:$M$69,MATCH(E325,'2026_actual'!$A$59:$A$69,0),MATCH(C325,'2026_actual'!$B$58:$M$58,0))
)</f>
        <v>1908200</v>
      </c>
      <c r="H325" s="13">
        <f t="shared" si="75"/>
        <v>34244.133333333302</v>
      </c>
      <c r="I325" s="10">
        <f t="shared" si="77"/>
        <v>1.8273713881130874E-2</v>
      </c>
      <c r="J325" s="6" t="str">
        <f>IF(G325&gt;=F325,"F","U")</f>
        <v>F</v>
      </c>
    </row>
    <row r="328" spans="1:10" x14ac:dyDescent="0.35">
      <c r="A328" s="3"/>
      <c r="B328" s="3"/>
      <c r="C328" s="5"/>
      <c r="D328" s="5"/>
      <c r="E328" s="3"/>
    </row>
    <row r="329" spans="1:10" x14ac:dyDescent="0.35">
      <c r="A329" s="6"/>
      <c r="B329" s="6"/>
      <c r="C329" s="9"/>
      <c r="D329" s="9"/>
      <c r="E329" s="6"/>
    </row>
    <row r="330" spans="1:10" x14ac:dyDescent="0.35">
      <c r="A330" s="6"/>
      <c r="B330" s="6"/>
      <c r="C330" s="9"/>
      <c r="D330" s="9"/>
      <c r="E330" s="6"/>
    </row>
    <row r="331" spans="1:10" x14ac:dyDescent="0.35">
      <c r="A331" s="6"/>
      <c r="B331" s="6"/>
      <c r="C331" s="9"/>
      <c r="D331" s="9"/>
      <c r="E331" s="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7072-884F-4AA5-B127-4256E20BBE46}">
  <dimension ref="A1:E10"/>
  <sheetViews>
    <sheetView workbookViewId="0">
      <selection activeCell="H5" sqref="H5"/>
    </sheetView>
  </sheetViews>
  <sheetFormatPr defaultRowHeight="14.5" x14ac:dyDescent="0.35"/>
  <cols>
    <col min="1" max="1" width="4.81640625" bestFit="1" customWidth="1"/>
    <col min="2" max="2" width="8.453125" bestFit="1" customWidth="1"/>
    <col min="3" max="3" width="13.90625" bestFit="1" customWidth="1"/>
    <col min="4" max="4" width="14.1796875" bestFit="1" customWidth="1"/>
    <col min="5" max="5" width="6.1796875" bestFit="1" customWidth="1"/>
  </cols>
  <sheetData>
    <row r="1" spans="1:5" ht="29" x14ac:dyDescent="0.35">
      <c r="A1" s="7" t="s">
        <v>126</v>
      </c>
      <c r="B1" s="7" t="s">
        <v>145</v>
      </c>
      <c r="C1" s="7" t="s">
        <v>147</v>
      </c>
      <c r="D1" s="7" t="s">
        <v>148</v>
      </c>
      <c r="E1" s="7" t="s">
        <v>149</v>
      </c>
    </row>
    <row r="2" spans="1:5" ht="29" x14ac:dyDescent="0.35">
      <c r="A2" s="6">
        <v>2024</v>
      </c>
      <c r="B2" s="6" t="s">
        <v>6</v>
      </c>
      <c r="C2" s="16">
        <f>SUMIFS(tableau_data!$F:$F,tableau_data!$B:$B,2024,tableau_data!$E:$E,B2)</f>
        <v>40000000</v>
      </c>
      <c r="D2" s="16">
        <v>40000000</v>
      </c>
      <c r="E2" s="6" t="str">
        <f>IF(C2=D2,"OK","CHECK")</f>
        <v>OK</v>
      </c>
    </row>
    <row r="3" spans="1:5" ht="58" x14ac:dyDescent="0.35">
      <c r="A3" s="6">
        <v>2024</v>
      </c>
      <c r="B3" s="6" t="s">
        <v>70</v>
      </c>
      <c r="C3" s="16">
        <f>SUMIFS(tableau_data!$F:$F,tableau_data!$B:$B,2024,tableau_data!$E:$E,B3)</f>
        <v>35620000</v>
      </c>
      <c r="D3" s="16">
        <v>35620000</v>
      </c>
      <c r="E3" s="6" t="str">
        <f>IF(C3=D3,"OK","CHECK")</f>
        <v>OK</v>
      </c>
    </row>
    <row r="4" spans="1:5" ht="29" x14ac:dyDescent="0.35">
      <c r="A4" s="6">
        <v>2024</v>
      </c>
      <c r="B4" s="6" t="s">
        <v>71</v>
      </c>
      <c r="C4" s="16">
        <f>SUMIFS(tableau_data!$F:$F,tableau_data!$B:$B,2024,tableau_data!$E:$E,B4)</f>
        <v>4380000.0000000009</v>
      </c>
      <c r="D4" s="16">
        <v>4380000</v>
      </c>
      <c r="E4" s="6" t="str">
        <f>IF(C4=D4,"OK","CHECK")</f>
        <v>OK</v>
      </c>
    </row>
    <row r="5" spans="1:5" ht="29" x14ac:dyDescent="0.35">
      <c r="A5" s="6">
        <v>2025</v>
      </c>
      <c r="B5" s="6" t="s">
        <v>6</v>
      </c>
      <c r="C5" s="16">
        <f>SUMIFS(tableau_data!$F:$F,tableau_data!$B:$B,2025,tableau_data!$E:$E,B2)</f>
        <v>46000000</v>
      </c>
      <c r="D5" s="15">
        <f>'2025_budget'!N59</f>
        <v>46000000</v>
      </c>
      <c r="E5" s="6" t="str">
        <f>IF(C5=D5,"OK","CHECK")</f>
        <v>OK</v>
      </c>
    </row>
    <row r="6" spans="1:5" ht="58" x14ac:dyDescent="0.35">
      <c r="A6" s="6">
        <v>2025</v>
      </c>
      <c r="B6" s="6" t="s">
        <v>70</v>
      </c>
      <c r="C6" s="16">
        <f>SUMIFS(tableau_data!$F:$F,tableau_data!$B:$B,2025,tableau_data!$E:$E,B3)</f>
        <v>40109360</v>
      </c>
      <c r="D6" s="15">
        <f>'2025_budget'!N67</f>
        <v>40109360</v>
      </c>
      <c r="E6" s="6" t="str">
        <f>IF(C6=D6,"OK","CHECK")</f>
        <v>OK</v>
      </c>
    </row>
    <row r="7" spans="1:5" ht="29" x14ac:dyDescent="0.35">
      <c r="A7" s="6">
        <v>2025</v>
      </c>
      <c r="B7" s="6" t="s">
        <v>71</v>
      </c>
      <c r="C7" s="16">
        <f>SUMIFS(tableau_data!$F:$F,tableau_data!$B:$B,2025,tableau_data!$E:$E,B4)</f>
        <v>5890639.9999999981</v>
      </c>
      <c r="D7" s="15">
        <f>'2025_budget'!N69</f>
        <v>5890640</v>
      </c>
      <c r="E7" s="6" t="str">
        <f>IF(C7=D7,"OK","CHECK")</f>
        <v>OK</v>
      </c>
    </row>
    <row r="8" spans="1:5" ht="29" x14ac:dyDescent="0.35">
      <c r="A8" s="6">
        <v>2026</v>
      </c>
      <c r="B8" s="6" t="s">
        <v>6</v>
      </c>
      <c r="C8" s="16">
        <f>SUMIFS(tableau_data!$F:$F,tableau_data!$B:$B,2026,tableau_data!$E:$E,B2)</f>
        <v>52900000</v>
      </c>
      <c r="D8" s="15">
        <f>'2026_budget'!N59</f>
        <v>52900000</v>
      </c>
      <c r="E8" s="6" t="str">
        <f>IF(C8=D8,"OK","CHECK")</f>
        <v>OK</v>
      </c>
    </row>
    <row r="9" spans="1:5" ht="58" x14ac:dyDescent="0.35">
      <c r="A9" s="6">
        <v>2026</v>
      </c>
      <c r="B9" s="6" t="s">
        <v>70</v>
      </c>
      <c r="C9" s="16">
        <f>SUMIFS(tableau_data!$F:$F,tableau_data!$B:$B,2026,tableau_data!$E:$E,B3)</f>
        <v>44885969.600000001</v>
      </c>
      <c r="D9" s="15">
        <f>'2026_budget'!N67</f>
        <v>44885969.600000001</v>
      </c>
      <c r="E9" s="6" t="str">
        <f>IF(C9=D9,"OK","CHECK")</f>
        <v>OK</v>
      </c>
    </row>
    <row r="10" spans="1:5" ht="29" x14ac:dyDescent="0.35">
      <c r="A10" s="6">
        <v>2026</v>
      </c>
      <c r="B10" s="6" t="s">
        <v>71</v>
      </c>
      <c r="C10" s="16">
        <f>SUMIFS(tableau_data!$F:$F,tableau_data!$B:$B,2026,tableau_data!$E:$E,B4)</f>
        <v>8014030.4000000022</v>
      </c>
      <c r="D10" s="15">
        <f>'2026_budget'!N69</f>
        <v>8014030.3999999985</v>
      </c>
      <c r="E10" s="6" t="str">
        <f>IF(C10=D10,"OK","CHECK")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2024_budget</vt:lpstr>
      <vt:lpstr>2025_budget</vt:lpstr>
      <vt:lpstr>2026_budget</vt:lpstr>
      <vt:lpstr>2024_actual</vt:lpstr>
      <vt:lpstr>2025_actual</vt:lpstr>
      <vt:lpstr>2026_actual</vt:lpstr>
      <vt:lpstr>variance_analysis</vt:lpstr>
      <vt:lpstr>tableau_data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Hoffman</dc:creator>
  <cp:lastModifiedBy>Lily Hoffman</cp:lastModifiedBy>
  <dcterms:created xsi:type="dcterms:W3CDTF">2026-09-03T15:38:57Z</dcterms:created>
  <dcterms:modified xsi:type="dcterms:W3CDTF">2026-09-04T20:48:40Z</dcterms:modified>
</cp:coreProperties>
</file>