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ilyh\Documents\post-grad\financial-analyst-portfolio\mfr-analytics-capital-investment-analysis\"/>
    </mc:Choice>
  </mc:AlternateContent>
  <xr:revisionPtr revIDLastSave="0" documentId="13_ncr:1_{FE286048-11B0-48EB-B703-039417F3B79C}" xr6:coauthVersionLast="47" xr6:coauthVersionMax="47" xr10:uidLastSave="{00000000-0000-0000-0000-000000000000}"/>
  <bookViews>
    <workbookView xWindow="11190" yWindow="0" windowWidth="11460" windowHeight="14410" activeTab="4" xr2:uid="{24104654-BC7E-4EE0-84AB-BEAE8CEEAB14}"/>
    <workbookView xWindow="-90" yWindow="0" windowWidth="11460" windowHeight="7250" firstSheet="3" activeTab="3" xr2:uid="{8E913032-88A3-4C92-B933-80DEFEAC1AC6}"/>
  </bookViews>
  <sheets>
    <sheet name="assumptions" sheetId="5" r:id="rId1"/>
    <sheet name="financial_projection" sheetId="1" r:id="rId2"/>
    <sheet name="investment_analysis" sheetId="4" r:id="rId3"/>
    <sheet name="scenario_analysis" sheetId="3" r:id="rId4"/>
    <sheet name="executive_summary" sheetId="2" r:id="rId5"/>
  </sheets>
  <definedNames>
    <definedName name="_xlchart.v1.0" hidden="1">executive_summary!$A$22</definedName>
    <definedName name="_xlchart.v1.1" hidden="1">executive_summary!$B$21:$D$21</definedName>
    <definedName name="_xlchart.v1.2" hidden="1">executive_summary!$B$22:$D$22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3" i="2" l="1"/>
  <c r="D24" i="2"/>
  <c r="D25" i="2"/>
  <c r="D22" i="2"/>
  <c r="B23" i="2"/>
  <c r="B24" i="2"/>
  <c r="B25" i="2"/>
  <c r="B22" i="2"/>
  <c r="C25" i="2"/>
  <c r="C23" i="2"/>
  <c r="C24" i="2"/>
  <c r="C22" i="2"/>
  <c r="B13" i="2"/>
  <c r="B12" i="2"/>
  <c r="B11" i="2"/>
  <c r="B10" i="2"/>
  <c r="B6" i="2"/>
  <c r="B5" i="2"/>
  <c r="D12" i="3"/>
  <c r="D35" i="3"/>
  <c r="E35" i="3"/>
  <c r="F35" i="3"/>
  <c r="G35" i="3"/>
  <c r="C35" i="3"/>
  <c r="B35" i="3"/>
  <c r="D11" i="3"/>
  <c r="D10" i="3"/>
  <c r="D9" i="3"/>
  <c r="G34" i="3"/>
  <c r="C29" i="3"/>
  <c r="D29" i="3" s="1"/>
  <c r="E29" i="3" s="1"/>
  <c r="F29" i="3" s="1"/>
  <c r="G29" i="3" s="1"/>
  <c r="D28" i="3"/>
  <c r="E28" i="3"/>
  <c r="F28" i="3"/>
  <c r="G28" i="3"/>
  <c r="C28" i="3"/>
  <c r="E27" i="3"/>
  <c r="F27" i="3"/>
  <c r="G27" i="3" s="1"/>
  <c r="D27" i="3"/>
  <c r="C27" i="3"/>
  <c r="B34" i="3"/>
  <c r="G33" i="3"/>
  <c r="C12" i="3"/>
  <c r="C11" i="3"/>
  <c r="C10" i="3"/>
  <c r="C9" i="3"/>
  <c r="B11" i="3"/>
  <c r="B10" i="3"/>
  <c r="B23" i="3"/>
  <c r="G22" i="3"/>
  <c r="C18" i="3"/>
  <c r="D18" i="3" s="1"/>
  <c r="E18" i="3" s="1"/>
  <c r="F18" i="3" s="1"/>
  <c r="G18" i="3" s="1"/>
  <c r="C16" i="3"/>
  <c r="C17" i="3" s="1"/>
  <c r="C19" i="3" s="1"/>
  <c r="C5" i="3"/>
  <c r="C4" i="3"/>
  <c r="C3" i="3"/>
  <c r="C2" i="3"/>
  <c r="D5" i="3"/>
  <c r="B5" i="3"/>
  <c r="B6" i="4"/>
  <c r="D12" i="4"/>
  <c r="E12" i="4" s="1"/>
  <c r="F12" i="4" s="1"/>
  <c r="G12" i="4" s="1"/>
  <c r="C12" i="4"/>
  <c r="B12" i="4"/>
  <c r="C11" i="4"/>
  <c r="D11" i="4"/>
  <c r="E11" i="4"/>
  <c r="F11" i="4"/>
  <c r="G11" i="4"/>
  <c r="B11" i="4"/>
  <c r="B5" i="4"/>
  <c r="B4" i="4"/>
  <c r="B3" i="4"/>
  <c r="B2" i="4"/>
  <c r="C22" i="1"/>
  <c r="D22" i="1"/>
  <c r="E22" i="1"/>
  <c r="F22" i="1"/>
  <c r="G22" i="1"/>
  <c r="B22" i="1"/>
  <c r="G21" i="1"/>
  <c r="C21" i="1"/>
  <c r="D21" i="1"/>
  <c r="E21" i="1"/>
  <c r="F21" i="1"/>
  <c r="B21" i="1"/>
  <c r="B19" i="1"/>
  <c r="D20" i="1"/>
  <c r="E20" i="1"/>
  <c r="F20" i="1"/>
  <c r="G20" i="1"/>
  <c r="C20" i="1"/>
  <c r="C8" i="1"/>
  <c r="B8" i="1"/>
  <c r="C12" i="1"/>
  <c r="D12" i="1"/>
  <c r="E12" i="1"/>
  <c r="F12" i="1"/>
  <c r="B12" i="1"/>
  <c r="D10" i="1"/>
  <c r="E10" i="1"/>
  <c r="F10" i="1" s="1"/>
  <c r="F11" i="1" s="1"/>
  <c r="C10" i="1"/>
  <c r="B10" i="1"/>
  <c r="C11" i="1"/>
  <c r="C14" i="1" s="1"/>
  <c r="D11" i="1"/>
  <c r="D14" i="1" s="1"/>
  <c r="E11" i="1"/>
  <c r="E14" i="1" s="1"/>
  <c r="B11" i="1"/>
  <c r="D8" i="1"/>
  <c r="E8" i="1"/>
  <c r="F8" i="1"/>
  <c r="C7" i="1"/>
  <c r="D7" i="1"/>
  <c r="E7" i="1"/>
  <c r="F7" i="1"/>
  <c r="B7" i="1"/>
  <c r="C6" i="1"/>
  <c r="D6" i="1"/>
  <c r="E6" i="1"/>
  <c r="F6" i="1"/>
  <c r="B6" i="1"/>
  <c r="D4" i="1"/>
  <c r="E4" i="1"/>
  <c r="F4" i="1" s="1"/>
  <c r="C4" i="1"/>
  <c r="B4" i="1"/>
  <c r="C30" i="3" l="1"/>
  <c r="C31" i="3" s="1"/>
  <c r="C32" i="3" s="1"/>
  <c r="C34" i="3" s="1"/>
  <c r="C20" i="3"/>
  <c r="C21" i="3" s="1"/>
  <c r="C23" i="3" s="1"/>
  <c r="D16" i="3"/>
  <c r="B14" i="1"/>
  <c r="E15" i="1"/>
  <c r="D15" i="1"/>
  <c r="F14" i="1"/>
  <c r="C15" i="1"/>
  <c r="D30" i="3" l="1"/>
  <c r="D17" i="3"/>
  <c r="D19" i="3" s="1"/>
  <c r="E16" i="3"/>
  <c r="B15" i="1"/>
  <c r="F15" i="1"/>
  <c r="D31" i="3" l="1"/>
  <c r="D32" i="3" s="1"/>
  <c r="D34" i="3" s="1"/>
  <c r="E30" i="3"/>
  <c r="F16" i="3"/>
  <c r="E17" i="3"/>
  <c r="E19" i="3" s="1"/>
  <c r="D20" i="3"/>
  <c r="D21" i="3" s="1"/>
  <c r="D23" i="3" s="1"/>
  <c r="G30" i="3" l="1"/>
  <c r="F30" i="3"/>
  <c r="E31" i="3"/>
  <c r="E32" i="3" s="1"/>
  <c r="E34" i="3" s="1"/>
  <c r="E20" i="3"/>
  <c r="E21" i="3" s="1"/>
  <c r="E23" i="3" s="1"/>
  <c r="G16" i="3"/>
  <c r="G17" i="3" s="1"/>
  <c r="G19" i="3" s="1"/>
  <c r="F17" i="3"/>
  <c r="F19" i="3" s="1"/>
  <c r="F31" i="3" l="1"/>
  <c r="F32" i="3" s="1"/>
  <c r="F34" i="3" s="1"/>
  <c r="G31" i="3"/>
  <c r="G32" i="3" s="1"/>
  <c r="G20" i="3"/>
  <c r="G21" i="3"/>
  <c r="G23" i="3" s="1"/>
  <c r="F20" i="3"/>
  <c r="F21" i="3" s="1"/>
  <c r="F23" i="3" s="1"/>
  <c r="B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tc={E0863AFF-CDED-4AC2-BACA-F47757689BC7}</author>
  </authors>
  <commentList>
    <comment ref="B7" authorId="0" shapeId="0" xr:uid="{E0863AFF-CDED-4AC2-BACA-F47757689BC7}">
      <text>
        <t xml:space="preserve">[Threaded comment]
Your version of Excel allows you to read this threaded comment; however, any edits to it will get removed if the file is opened in a newer version of Excel. Learn more: https://go.microsoft.com/fwlink/?linkid=870924
Comment:
    Recommendation: Conditionally approve the investment. The base case generates a positive NPV and exceeds the required IRR while achieving payback within five years; however, downside results indicate significant sensitivity to revenue growth and gross margin performance. </t>
      </text>
    </comment>
  </commentList>
</comments>
</file>

<file path=xl/sharedStrings.xml><?xml version="1.0" encoding="utf-8"?>
<sst xmlns="http://schemas.openxmlformats.org/spreadsheetml/2006/main" count="143" uniqueCount="59">
  <si>
    <t xml:space="preserve">MFR Analytics –– Capital Investment Analysis </t>
  </si>
  <si>
    <t>Project Assumptions</t>
  </si>
  <si>
    <t>Assumption</t>
  </si>
  <si>
    <t>Base Case</t>
  </si>
  <si>
    <t>Initial Investment</t>
  </si>
  <si>
    <t>Project Life</t>
  </si>
  <si>
    <t>5 years</t>
  </si>
  <si>
    <t>Discount Rate</t>
  </si>
  <si>
    <t>Year 1 Revenue</t>
  </si>
  <si>
    <t>Annual Revenue Growth</t>
  </si>
  <si>
    <t>Gross Margin</t>
  </si>
  <si>
    <t>Annual Fixed Operating Costs</t>
  </si>
  <si>
    <t>Annual Fixed Cost Growth</t>
  </si>
  <si>
    <t>Tax Rate</t>
  </si>
  <si>
    <t>Terminal Value</t>
  </si>
  <si>
    <t>Decision Criteria</t>
  </si>
  <si>
    <t>Minimum Required IRR</t>
  </si>
  <si>
    <t>Maximum Payback Period</t>
  </si>
  <si>
    <t>NPV Requirement</t>
  </si>
  <si>
    <t>Positive</t>
  </si>
  <si>
    <t>Metric</t>
  </si>
  <si>
    <t>Year 1</t>
  </si>
  <si>
    <t>Year 2</t>
  </si>
  <si>
    <t>Year 3</t>
  </si>
  <si>
    <t>Year 4</t>
  </si>
  <si>
    <t>Year 5</t>
  </si>
  <si>
    <t>Cost of Revenue</t>
  </si>
  <si>
    <t>Gross Profit</t>
  </si>
  <si>
    <t>Fixed Operating Costs</t>
  </si>
  <si>
    <t>Operating Profit</t>
  </si>
  <si>
    <t>Operating Margin</t>
  </si>
  <si>
    <t>Taxes</t>
  </si>
  <si>
    <t>After-Tax Operating Profit</t>
  </si>
  <si>
    <t>Revenue</t>
  </si>
  <si>
    <t>Year 0</t>
  </si>
  <si>
    <t>Project Cash Flow</t>
  </si>
  <si>
    <t>Result</t>
  </si>
  <si>
    <t>NPV</t>
  </si>
  <si>
    <t>IRR</t>
  </si>
  <si>
    <t>ROI</t>
  </si>
  <si>
    <t>Decision</t>
  </si>
  <si>
    <t>Cumulative Cash Flow</t>
  </si>
  <si>
    <t>Downside</t>
  </si>
  <si>
    <t>Base</t>
  </si>
  <si>
    <t>Upside</t>
  </si>
  <si>
    <t>&gt; 5</t>
  </si>
  <si>
    <t>Payback Period (years)</t>
  </si>
  <si>
    <t>Conditional Approval</t>
  </si>
  <si>
    <t>Capital Investment Executive Summary</t>
  </si>
  <si>
    <t>5-Year Financial Projection</t>
  </si>
  <si>
    <t>Investment Recommendation</t>
  </si>
  <si>
    <t>Management Recommendation</t>
  </si>
  <si>
    <t>Conditionally approve the $7.5M investment. The base case generates a positive NPV, a 10.1% IRR, and a 4.22-year payback period, meeting the project's minimum investment criteria. However, downside performance indicates material sensitivity to revenue growth and gross margin assumptions.</t>
  </si>
  <si>
    <t>Scenario Comparison</t>
  </si>
  <si>
    <t>Management Insights</t>
  </si>
  <si>
    <r>
      <t>1. Base Case Meets Investment Hurdles</t>
    </r>
    <r>
      <rPr>
        <sz val="11"/>
        <color theme="1"/>
        <rFont val="Aptos Narrow"/>
        <family val="2"/>
        <scheme val="minor"/>
      </rPr>
      <t xml:space="preserve">
The base case generates a positive NPV of $23K and a 10.1% IRR, narrowly exceeding the 10% required return, with payback occurring in 4.22 years.</t>
    </r>
  </si>
  <si>
    <r>
      <rPr>
        <b/>
        <sz val="11"/>
        <color theme="1"/>
        <rFont val="Aptos Narrow"/>
        <family val="2"/>
        <scheme val="minor"/>
      </rPr>
      <t>2. Downside Risk Is Material</t>
    </r>
    <r>
      <rPr>
        <sz val="11"/>
        <color theme="1"/>
        <rFont val="Aptos Narrow"/>
        <family val="2"/>
        <scheme val="minor"/>
      </rPr>
      <t xml:space="preserve">
Under lower revenue growth and gross margin assumptions, NPV declines to approximately -$2.24M, IRR falls to -0.9%, and the investment does not pay back within the five-year project life.</t>
    </r>
  </si>
  <si>
    <r>
      <rPr>
        <b/>
        <sz val="11"/>
        <color theme="1"/>
        <rFont val="Aptos Narrow"/>
        <family val="2"/>
        <scheme val="minor"/>
      </rPr>
      <t>3. Upside Provides Significant Value Creation</t>
    </r>
    <r>
      <rPr>
        <sz val="11"/>
        <color theme="1"/>
        <rFont val="Aptos Narrow"/>
        <family val="2"/>
        <scheme val="minor"/>
      </rPr>
      <t xml:space="preserve">
With 30% revenue growth and a 75% gross margin, NPV increases to approximately $2.86M, IRR reaches 20.7%, and payback improves to 3.58 years.</t>
    </r>
  </si>
  <si>
    <r>
      <rPr>
        <b/>
        <sz val="11"/>
        <color theme="1"/>
        <rFont val="Aptos Narrow"/>
        <family val="2"/>
        <scheme val="minor"/>
      </rPr>
      <t>Key Takeaway:</t>
    </r>
    <r>
      <rPr>
        <sz val="11"/>
        <color theme="1"/>
        <rFont val="Aptos Narrow"/>
        <family val="2"/>
        <scheme val="minor"/>
      </rPr>
      <t xml:space="preserve"> The investment is financially viable under the base case but has limited margin for underperformance. Management should proceed conditionally and closely validate revenue growth and gross margin assumptions before committing the full $7.5M investment.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</si>
</sst>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8" formatCode="0.0%"/>
  </numFmts>
  <fonts count="3" x14ac:knownFonts="1">
    <font>
      <sz val="11"/>
      <color theme="1"/>
      <name val="Aptos Narrow"/>
      <family val="2"/>
      <scheme val="minor"/>
    </font>
    <font>
      <b/>
      <sz val="11"/>
      <color theme="1"/>
      <name val="Aptos Narrow"/>
      <family val="2"/>
      <scheme val="minor"/>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6" fontId="0" fillId="0" borderId="0" xfId="0" applyNumberFormat="1"/>
    <xf numFmtId="6" fontId="0" fillId="0" borderId="0" xfId="0" applyNumberFormat="1" applyAlignment="1">
      <alignment horizontal="right" vertical="center" wrapText="1"/>
    </xf>
    <xf numFmtId="10" fontId="0" fillId="0" borderId="0" xfId="0" applyNumberFormat="1" applyAlignment="1">
      <alignment horizontal="right" vertical="center" wrapText="1"/>
    </xf>
    <xf numFmtId="0" fontId="1" fillId="0" borderId="0" xfId="0" applyFont="1" applyAlignment="1">
      <alignment vertical="center" wrapText="1"/>
    </xf>
    <xf numFmtId="0" fontId="1" fillId="0" borderId="0" xfId="0" applyFont="1"/>
    <xf numFmtId="8" fontId="0" fillId="0" borderId="0" xfId="0" applyNumberFormat="1"/>
    <xf numFmtId="168" fontId="0" fillId="0" borderId="0" xfId="0" applyNumberFormat="1"/>
    <xf numFmtId="8" fontId="0" fillId="0" borderId="0" xfId="0" applyNumberFormat="1" applyAlignment="1">
      <alignment horizontal="right" vertical="center" wrapText="1"/>
    </xf>
    <xf numFmtId="168" fontId="0" fillId="0" borderId="0" xfId="0" applyNumberFormat="1" applyAlignment="1">
      <alignment horizontal="right" vertical="center" wrapText="1"/>
    </xf>
    <xf numFmtId="2" fontId="0" fillId="0" borderId="0" xfId="0" applyNumberFormat="1" applyAlignment="1">
      <alignment horizontal="right" vertical="center" wrapText="1"/>
    </xf>
    <xf numFmtId="8" fontId="0" fillId="0" borderId="0" xfId="0" applyNumberFormat="1" applyAlignment="1">
      <alignment vertical="center" wrapText="1"/>
    </xf>
    <xf numFmtId="168" fontId="0" fillId="0" borderId="0" xfId="0" applyNumberFormat="1" applyAlignment="1">
      <alignment vertical="center" wrapText="1"/>
    </xf>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NPV by</a:t>
            </a:r>
            <a:r>
              <a:rPr lang="en-US" baseline="0"/>
              <a:t> Scenario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executive_summary!$A$22</c:f>
              <c:strCache>
                <c:ptCount val="1"/>
                <c:pt idx="0">
                  <c:v>NPV</c:v>
                </c:pt>
              </c:strCache>
            </c:strRef>
          </c:tx>
          <c:spPr>
            <a:solidFill>
              <a:schemeClr val="accent1"/>
            </a:solidFill>
            <a:ln>
              <a:noFill/>
            </a:ln>
            <a:effectLst/>
          </c:spPr>
          <c:invertIfNegative val="0"/>
          <c:cat>
            <c:strRef>
              <c:f>executive_summary!$B$21:$D$21</c:f>
              <c:strCache>
                <c:ptCount val="3"/>
                <c:pt idx="0">
                  <c:v>Downside</c:v>
                </c:pt>
                <c:pt idx="1">
                  <c:v>Base</c:v>
                </c:pt>
                <c:pt idx="2">
                  <c:v>Upside</c:v>
                </c:pt>
              </c:strCache>
            </c:strRef>
          </c:cat>
          <c:val>
            <c:numRef>
              <c:f>executive_summary!$B$22:$D$22</c:f>
              <c:numCache>
                <c:formatCode>"$"#,##0.00_);[Red]\("$"#,##0.00\)</c:formatCode>
                <c:ptCount val="3"/>
                <c:pt idx="0" formatCode="&quot;$&quot;#,##0_);[Red]\(&quot;$&quot;#,##0\)">
                  <c:v>-2236340.3130064383</c:v>
                </c:pt>
                <c:pt idx="1">
                  <c:v>23289.012486726046</c:v>
                </c:pt>
                <c:pt idx="2" formatCode="&quot;$&quot;#,##0_);[Red]\(&quot;$&quot;#,##0\)">
                  <c:v>2858377.3540679626</c:v>
                </c:pt>
              </c:numCache>
            </c:numRef>
          </c:val>
          <c:extLst>
            <c:ext xmlns:c16="http://schemas.microsoft.com/office/drawing/2014/chart" uri="{C3380CC4-5D6E-409C-BE32-E72D297353CC}">
              <c16:uniqueId val="{00000000-A4EC-447B-B42D-2DA70544EF31}"/>
            </c:ext>
          </c:extLst>
        </c:ser>
        <c:dLbls>
          <c:showLegendKey val="0"/>
          <c:showVal val="0"/>
          <c:showCatName val="0"/>
          <c:showSerName val="0"/>
          <c:showPercent val="0"/>
          <c:showBubbleSize val="0"/>
        </c:dLbls>
        <c:gapWidth val="219"/>
        <c:axId val="2033976015"/>
        <c:axId val="1900633327"/>
      </c:barChart>
      <c:catAx>
        <c:axId val="203397601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633327"/>
        <c:crosses val="autoZero"/>
        <c:auto val="1"/>
        <c:lblAlgn val="ctr"/>
        <c:lblOffset val="100"/>
        <c:noMultiLvlLbl val="0"/>
      </c:catAx>
      <c:valAx>
        <c:axId val="19006333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397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595581</xdr:colOff>
      <xdr:row>17</xdr:row>
      <xdr:rowOff>498664</xdr:rowOff>
    </xdr:from>
    <xdr:to>
      <xdr:col>14</xdr:col>
      <xdr:colOff>266841</xdr:colOff>
      <xdr:row>27</xdr:row>
      <xdr:rowOff>159589</xdr:rowOff>
    </xdr:to>
    <xdr:graphicFrame macro="">
      <xdr:nvGraphicFramePr>
        <xdr:cNvPr id="2" name="Chart 1">
          <a:extLst>
            <a:ext uri="{FF2B5EF4-FFF2-40B4-BE49-F238E27FC236}">
              <a16:creationId xmlns:a16="http://schemas.microsoft.com/office/drawing/2014/main" id="{DF0AE08B-C8E4-4D44-5341-DD73D09FF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ily Hoffman" id="{B04B1359-FDD9-46A1-853C-7EAFF374E3A6}" userId="a7412ceb2db4473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7" dT="2026-09-05T02:50:11.65" personId="{B04B1359-FDD9-46A1-853C-7EAFF374E3A6}" id="{E0863AFF-CDED-4AC2-BACA-F47757689BC7}">
    <text xml:space="preserve">Recommendation: Conditionally approve the investment. The base case generates a positive NPV and exceeds the required IRR while achieving payback within five years; however, downside results indicate significant sensitivity to revenue growth and gross margin performance.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9CB4E-6D0B-487E-AA32-A2371236C818}">
  <dimension ref="A1:B20"/>
  <sheetViews>
    <sheetView zoomScale="63" workbookViewId="0">
      <selection activeCell="E8" sqref="E8"/>
    </sheetView>
    <sheetView topLeftCell="A3" workbookViewId="1"/>
  </sheetViews>
  <sheetFormatPr defaultRowHeight="14.5" x14ac:dyDescent="0.35"/>
  <cols>
    <col min="1" max="1" width="11.54296875" customWidth="1"/>
    <col min="2" max="2" width="10.26953125" bestFit="1" customWidth="1"/>
  </cols>
  <sheetData>
    <row r="1" spans="1:2" x14ac:dyDescent="0.35">
      <c r="A1" s="9" t="s">
        <v>0</v>
      </c>
    </row>
    <row r="3" spans="1:2" x14ac:dyDescent="0.35">
      <c r="A3" s="9" t="s">
        <v>1</v>
      </c>
    </row>
    <row r="4" spans="1:2" ht="29" x14ac:dyDescent="0.35">
      <c r="A4" s="4" t="s">
        <v>2</v>
      </c>
      <c r="B4" s="2" t="s">
        <v>3</v>
      </c>
    </row>
    <row r="5" spans="1:2" ht="43.5" x14ac:dyDescent="0.35">
      <c r="A5" s="4" t="s">
        <v>4</v>
      </c>
      <c r="B5" s="6">
        <v>7500000</v>
      </c>
    </row>
    <row r="6" spans="1:2" ht="29" x14ac:dyDescent="0.35">
      <c r="A6" s="4" t="s">
        <v>5</v>
      </c>
      <c r="B6" s="2" t="s">
        <v>6</v>
      </c>
    </row>
    <row r="7" spans="1:2" ht="29" x14ac:dyDescent="0.35">
      <c r="A7" s="4" t="s">
        <v>7</v>
      </c>
      <c r="B7" s="7">
        <v>0.1</v>
      </c>
    </row>
    <row r="8" spans="1:2" ht="29" x14ac:dyDescent="0.35">
      <c r="A8" s="4" t="s">
        <v>8</v>
      </c>
      <c r="B8" s="6">
        <v>3500000</v>
      </c>
    </row>
    <row r="9" spans="1:2" ht="43.5" x14ac:dyDescent="0.35">
      <c r="A9" s="4" t="s">
        <v>9</v>
      </c>
      <c r="B9" s="7">
        <v>0.2</v>
      </c>
    </row>
    <row r="10" spans="1:2" ht="29" x14ac:dyDescent="0.35">
      <c r="A10" s="4" t="s">
        <v>10</v>
      </c>
      <c r="B10" s="7">
        <v>0.7</v>
      </c>
    </row>
    <row r="11" spans="1:2" ht="58" x14ac:dyDescent="0.35">
      <c r="A11" s="4" t="s">
        <v>11</v>
      </c>
      <c r="B11" s="6">
        <v>1000000</v>
      </c>
    </row>
    <row r="12" spans="1:2" ht="58" x14ac:dyDescent="0.35">
      <c r="A12" s="4" t="s">
        <v>12</v>
      </c>
      <c r="B12" s="7">
        <v>0.05</v>
      </c>
    </row>
    <row r="13" spans="1:2" x14ac:dyDescent="0.35">
      <c r="A13" s="4" t="s">
        <v>13</v>
      </c>
      <c r="B13" s="7">
        <v>0.25</v>
      </c>
    </row>
    <row r="14" spans="1:2" ht="29" x14ac:dyDescent="0.35">
      <c r="A14" s="4" t="s">
        <v>14</v>
      </c>
      <c r="B14" s="6">
        <v>1000000</v>
      </c>
    </row>
    <row r="17" spans="1:2" ht="29" x14ac:dyDescent="0.35">
      <c r="A17" s="8" t="s">
        <v>15</v>
      </c>
    </row>
    <row r="18" spans="1:2" ht="29" x14ac:dyDescent="0.35">
      <c r="A18" s="4" t="s">
        <v>16</v>
      </c>
      <c r="B18" s="7">
        <v>0.1</v>
      </c>
    </row>
    <row r="19" spans="1:2" ht="43.5" x14ac:dyDescent="0.35">
      <c r="A19" s="4" t="s">
        <v>17</v>
      </c>
      <c r="B19" s="2" t="s">
        <v>6</v>
      </c>
    </row>
    <row r="20" spans="1:2" ht="29" x14ac:dyDescent="0.35">
      <c r="A20" s="4" t="s">
        <v>18</v>
      </c>
      <c r="B20" s="2" t="s">
        <v>19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CE2B-44FF-4620-BFFE-A204E97D6668}">
  <dimension ref="A1:G22"/>
  <sheetViews>
    <sheetView workbookViewId="0">
      <selection activeCell="A32" sqref="A32"/>
    </sheetView>
    <sheetView topLeftCell="A13" workbookViewId="1">
      <selection activeCell="G23" sqref="G23"/>
    </sheetView>
  </sheetViews>
  <sheetFormatPr defaultRowHeight="14.5" x14ac:dyDescent="0.35"/>
  <cols>
    <col min="1" max="1" width="21.453125" bestFit="1" customWidth="1"/>
    <col min="2" max="2" width="13.81640625" bestFit="1" customWidth="1"/>
    <col min="3" max="7" width="13" bestFit="1" customWidth="1"/>
  </cols>
  <sheetData>
    <row r="1" spans="1:6" x14ac:dyDescent="0.35">
      <c r="A1" s="9" t="s">
        <v>49</v>
      </c>
    </row>
    <row r="3" spans="1:6" x14ac:dyDescent="0.35">
      <c r="A3" s="9" t="s">
        <v>20</v>
      </c>
      <c r="B3" s="9" t="s">
        <v>21</v>
      </c>
      <c r="C3" s="9" t="s">
        <v>22</v>
      </c>
      <c r="D3" s="9" t="s">
        <v>23</v>
      </c>
      <c r="E3" s="9" t="s">
        <v>24</v>
      </c>
      <c r="F3" s="9" t="s">
        <v>25</v>
      </c>
    </row>
    <row r="4" spans="1:6" x14ac:dyDescent="0.35">
      <c r="A4" t="s">
        <v>33</v>
      </c>
      <c r="B4" s="5">
        <f>assumptions!$B$8</f>
        <v>3500000</v>
      </c>
      <c r="C4" s="10">
        <f>B4*(1+assumptions!$B$9)</f>
        <v>4200000</v>
      </c>
      <c r="D4" s="10">
        <f>C4*(1+assumptions!$B$9)</f>
        <v>5040000</v>
      </c>
      <c r="E4" s="10">
        <f>D4*(1+assumptions!$B$9)</f>
        <v>6048000</v>
      </c>
      <c r="F4" s="10">
        <f>E4*(1+assumptions!$B$9)</f>
        <v>7257600</v>
      </c>
    </row>
    <row r="6" spans="1:6" x14ac:dyDescent="0.35">
      <c r="A6" t="s">
        <v>26</v>
      </c>
      <c r="B6" s="10">
        <f>B4*(1-assumptions!$B$10)</f>
        <v>1050000.0000000002</v>
      </c>
      <c r="C6" s="10">
        <f>C4*(1-assumptions!$B$10)</f>
        <v>1260000.0000000002</v>
      </c>
      <c r="D6" s="10">
        <f>D4*(1-assumptions!$B$10)</f>
        <v>1512000.0000000002</v>
      </c>
      <c r="E6" s="10">
        <f>E4*(1-assumptions!$B$10)</f>
        <v>1814400.0000000002</v>
      </c>
      <c r="F6" s="10">
        <f>F4*(1-assumptions!$B$10)</f>
        <v>2177280.0000000005</v>
      </c>
    </row>
    <row r="7" spans="1:6" x14ac:dyDescent="0.35">
      <c r="A7" t="s">
        <v>27</v>
      </c>
      <c r="B7" s="10">
        <f>B4-B6</f>
        <v>2450000</v>
      </c>
      <c r="C7" s="10">
        <f t="shared" ref="C7:F7" si="0">C4-C6</f>
        <v>2940000</v>
      </c>
      <c r="D7" s="10">
        <f t="shared" si="0"/>
        <v>3528000</v>
      </c>
      <c r="E7" s="10">
        <f t="shared" si="0"/>
        <v>4233600</v>
      </c>
      <c r="F7" s="10">
        <f t="shared" si="0"/>
        <v>5080320</v>
      </c>
    </row>
    <row r="8" spans="1:6" x14ac:dyDescent="0.35">
      <c r="A8" t="s">
        <v>10</v>
      </c>
      <c r="B8" s="11">
        <f>B7/B4</f>
        <v>0.7</v>
      </c>
      <c r="C8" s="11">
        <f t="shared" ref="C8:F8" si="1">C7/C4</f>
        <v>0.7</v>
      </c>
      <c r="D8" s="11">
        <f t="shared" si="1"/>
        <v>0.7</v>
      </c>
      <c r="E8" s="11">
        <f t="shared" si="1"/>
        <v>0.7</v>
      </c>
      <c r="F8" s="11">
        <f t="shared" si="1"/>
        <v>0.7</v>
      </c>
    </row>
    <row r="10" spans="1:6" x14ac:dyDescent="0.35">
      <c r="A10" t="s">
        <v>28</v>
      </c>
      <c r="B10" s="5">
        <f>assumptions!$B$11</f>
        <v>1000000</v>
      </c>
      <c r="C10" s="5">
        <f>B10*(1+assumptions!$B$12)</f>
        <v>1050000</v>
      </c>
      <c r="D10" s="5">
        <f>C10*(1+assumptions!$B$12)</f>
        <v>1102500</v>
      </c>
      <c r="E10" s="5">
        <f>D10*(1+assumptions!$B$12)</f>
        <v>1157625</v>
      </c>
      <c r="F10" s="5">
        <f>E10*(1+assumptions!$B$12)</f>
        <v>1215506.25</v>
      </c>
    </row>
    <row r="11" spans="1:6" x14ac:dyDescent="0.35">
      <c r="A11" t="s">
        <v>29</v>
      </c>
      <c r="B11" s="10">
        <f>B7-B10</f>
        <v>1450000</v>
      </c>
      <c r="C11" s="10">
        <f t="shared" ref="C11:F11" si="2">C7-C10</f>
        <v>1890000</v>
      </c>
      <c r="D11" s="10">
        <f t="shared" si="2"/>
        <v>2425500</v>
      </c>
      <c r="E11" s="10">
        <f t="shared" si="2"/>
        <v>3075975</v>
      </c>
      <c r="F11" s="10">
        <f t="shared" si="2"/>
        <v>3864813.75</v>
      </c>
    </row>
    <row r="12" spans="1:6" x14ac:dyDescent="0.35">
      <c r="A12" t="s">
        <v>30</v>
      </c>
      <c r="B12" s="11">
        <f>B11/B4</f>
        <v>0.41428571428571431</v>
      </c>
      <c r="C12" s="11">
        <f t="shared" ref="C12:F12" si="3">C11/C4</f>
        <v>0.45</v>
      </c>
      <c r="D12" s="11">
        <f t="shared" si="3"/>
        <v>0.48125000000000001</v>
      </c>
      <c r="E12" s="11">
        <f t="shared" si="3"/>
        <v>0.50859374999999996</v>
      </c>
      <c r="F12" s="11">
        <f t="shared" si="3"/>
        <v>0.53251953124999996</v>
      </c>
    </row>
    <row r="14" spans="1:6" x14ac:dyDescent="0.35">
      <c r="A14" t="s">
        <v>31</v>
      </c>
      <c r="B14" s="10">
        <f>MAX(0,B11*assumptions!$B$13)</f>
        <v>362500</v>
      </c>
      <c r="C14" s="10">
        <f>MAX(0,C11*assumptions!$B$13)</f>
        <v>472500</v>
      </c>
      <c r="D14" s="10">
        <f>MAX(0,D11*assumptions!$B$13)</f>
        <v>606375</v>
      </c>
      <c r="E14" s="10">
        <f>MAX(0,E11*assumptions!$B$13)</f>
        <v>768993.75</v>
      </c>
      <c r="F14" s="10">
        <f>MAX(0,F11*assumptions!$B$13)</f>
        <v>966203.4375</v>
      </c>
    </row>
    <row r="15" spans="1:6" x14ac:dyDescent="0.35">
      <c r="A15" t="s">
        <v>32</v>
      </c>
      <c r="B15" s="10">
        <f>B11-B14</f>
        <v>1087500</v>
      </c>
      <c r="C15" s="10">
        <f t="shared" ref="C15:F15" si="4">C11-C14</f>
        <v>1417500</v>
      </c>
      <c r="D15" s="10">
        <f t="shared" si="4"/>
        <v>1819125</v>
      </c>
      <c r="E15" s="10">
        <f t="shared" si="4"/>
        <v>2306981.25</v>
      </c>
      <c r="F15" s="10">
        <f t="shared" si="4"/>
        <v>2898610.3125</v>
      </c>
    </row>
    <row r="18" spans="1:7" x14ac:dyDescent="0.35">
      <c r="A18" s="1" t="s">
        <v>20</v>
      </c>
      <c r="B18" s="3" t="s">
        <v>34</v>
      </c>
      <c r="C18" s="3" t="s">
        <v>21</v>
      </c>
      <c r="D18" s="3" t="s">
        <v>22</v>
      </c>
      <c r="E18" s="3" t="s">
        <v>23</v>
      </c>
      <c r="F18" s="3" t="s">
        <v>24</v>
      </c>
      <c r="G18" s="3" t="s">
        <v>25</v>
      </c>
    </row>
    <row r="19" spans="1:7" x14ac:dyDescent="0.35">
      <c r="A19" s="4" t="s">
        <v>4</v>
      </c>
      <c r="B19" s="12">
        <f>-assumptions!$B$5</f>
        <v>-7500000</v>
      </c>
      <c r="C19" s="12">
        <v>0</v>
      </c>
      <c r="D19" s="12">
        <v>0</v>
      </c>
      <c r="E19" s="12">
        <v>0</v>
      </c>
      <c r="F19" s="12">
        <v>0</v>
      </c>
      <c r="G19" s="12">
        <v>0</v>
      </c>
    </row>
    <row r="20" spans="1:7" x14ac:dyDescent="0.35">
      <c r="A20" s="4" t="s">
        <v>32</v>
      </c>
      <c r="B20" s="12">
        <v>0</v>
      </c>
      <c r="C20" s="12">
        <f>B15</f>
        <v>1087500</v>
      </c>
      <c r="D20" s="12">
        <f t="shared" ref="D20:G20" si="5">C15</f>
        <v>1417500</v>
      </c>
      <c r="E20" s="12">
        <f t="shared" si="5"/>
        <v>1819125</v>
      </c>
      <c r="F20" s="12">
        <f t="shared" si="5"/>
        <v>2306981.25</v>
      </c>
      <c r="G20" s="12">
        <f t="shared" si="5"/>
        <v>2898610.3125</v>
      </c>
    </row>
    <row r="21" spans="1:7" x14ac:dyDescent="0.35">
      <c r="A21" s="4" t="s">
        <v>14</v>
      </c>
      <c r="B21" s="12">
        <f>0</f>
        <v>0</v>
      </c>
      <c r="C21" s="12">
        <f>0</f>
        <v>0</v>
      </c>
      <c r="D21" s="12">
        <f>0</f>
        <v>0</v>
      </c>
      <c r="E21" s="12">
        <f>0</f>
        <v>0</v>
      </c>
      <c r="F21" s="12">
        <f>0</f>
        <v>0</v>
      </c>
      <c r="G21" s="12">
        <f>assumptions!$B$14</f>
        <v>1000000</v>
      </c>
    </row>
    <row r="22" spans="1:7" x14ac:dyDescent="0.35">
      <c r="A22" s="8" t="s">
        <v>35</v>
      </c>
      <c r="B22" s="12">
        <f>SUM(B19:B21)</f>
        <v>-7500000</v>
      </c>
      <c r="C22" s="12">
        <f t="shared" ref="C22:G22" si="6">SUM(C19:C21)</f>
        <v>1087500</v>
      </c>
      <c r="D22" s="12">
        <f t="shared" si="6"/>
        <v>1417500</v>
      </c>
      <c r="E22" s="12">
        <f t="shared" si="6"/>
        <v>1819125</v>
      </c>
      <c r="F22" s="12">
        <f t="shared" si="6"/>
        <v>2306981.25</v>
      </c>
      <c r="G22" s="12">
        <f t="shared" si="6"/>
        <v>3898610.3125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C8695-391E-4DA0-BD9F-DDE416C80473}">
  <dimension ref="A1:G12"/>
  <sheetViews>
    <sheetView workbookViewId="0">
      <selection activeCell="C18" sqref="C18"/>
    </sheetView>
    <sheetView workbookViewId="1">
      <selection activeCell="A7" sqref="A7"/>
    </sheetView>
  </sheetViews>
  <sheetFormatPr defaultRowHeight="14.5" x14ac:dyDescent="0.35"/>
  <cols>
    <col min="1" max="1" width="10.90625" customWidth="1"/>
    <col min="2" max="5" width="13.81640625" bestFit="1" customWidth="1"/>
    <col min="6" max="7" width="12.90625" bestFit="1" customWidth="1"/>
  </cols>
  <sheetData>
    <row r="1" spans="1:7" x14ac:dyDescent="0.35">
      <c r="A1" s="1" t="s">
        <v>20</v>
      </c>
      <c r="B1" s="3" t="s">
        <v>36</v>
      </c>
    </row>
    <row r="2" spans="1:7" ht="29" x14ac:dyDescent="0.35">
      <c r="A2" s="4" t="s">
        <v>4</v>
      </c>
      <c r="B2" s="12">
        <f>ABS(financial_projection!B19)</f>
        <v>7500000</v>
      </c>
    </row>
    <row r="3" spans="1:7" x14ac:dyDescent="0.35">
      <c r="A3" s="4" t="s">
        <v>37</v>
      </c>
      <c r="B3" s="12">
        <f>NPV(assumptions!$B$7,financial_projection!C22:G22)+financial_projection!B22</f>
        <v>23289.012486726046</v>
      </c>
    </row>
    <row r="4" spans="1:7" x14ac:dyDescent="0.35">
      <c r="A4" s="4" t="s">
        <v>38</v>
      </c>
      <c r="B4" s="13">
        <f>IRR(financial_projection!B22:G22)</f>
        <v>0.10099371796614443</v>
      </c>
    </row>
    <row r="5" spans="1:7" x14ac:dyDescent="0.35">
      <c r="A5" s="4" t="s">
        <v>39</v>
      </c>
      <c r="B5" s="13">
        <f>(SUM(financial_projection!C22:G22)-ABS(financial_projection!B22))/ABS(financial_projection!B22)</f>
        <v>0.40396220833333335</v>
      </c>
    </row>
    <row r="6" spans="1:7" ht="43.5" x14ac:dyDescent="0.35">
      <c r="A6" s="4" t="s">
        <v>46</v>
      </c>
      <c r="B6" s="14">
        <f>4+ABS(F12)/G11</f>
        <v>4.2228726854833614</v>
      </c>
    </row>
    <row r="7" spans="1:7" ht="29" x14ac:dyDescent="0.35">
      <c r="A7" s="4" t="s">
        <v>40</v>
      </c>
      <c r="B7" s="2" t="s">
        <v>47</v>
      </c>
    </row>
    <row r="10" spans="1:7" x14ac:dyDescent="0.35">
      <c r="A10" s="1"/>
      <c r="B10" s="3" t="s">
        <v>34</v>
      </c>
      <c r="C10" s="3" t="s">
        <v>21</v>
      </c>
      <c r="D10" s="3" t="s">
        <v>22</v>
      </c>
      <c r="E10" s="3" t="s">
        <v>23</v>
      </c>
      <c r="F10" s="3" t="s">
        <v>24</v>
      </c>
      <c r="G10" s="3" t="s">
        <v>25</v>
      </c>
    </row>
    <row r="11" spans="1:7" ht="29" x14ac:dyDescent="0.35">
      <c r="A11" s="4" t="s">
        <v>35</v>
      </c>
      <c r="B11" s="12">
        <f>financial_projection!B22</f>
        <v>-7500000</v>
      </c>
      <c r="C11" s="12">
        <f>financial_projection!C22</f>
        <v>1087500</v>
      </c>
      <c r="D11" s="12">
        <f>financial_projection!D22</f>
        <v>1417500</v>
      </c>
      <c r="E11" s="12">
        <f>financial_projection!E22</f>
        <v>1819125</v>
      </c>
      <c r="F11" s="12">
        <f>financial_projection!F22</f>
        <v>2306981.25</v>
      </c>
      <c r="G11" s="12">
        <f>financial_projection!G22</f>
        <v>3898610.3125</v>
      </c>
    </row>
    <row r="12" spans="1:7" ht="29" x14ac:dyDescent="0.35">
      <c r="A12" s="4" t="s">
        <v>41</v>
      </c>
      <c r="B12" s="12">
        <f>B11</f>
        <v>-7500000</v>
      </c>
      <c r="C12" s="12">
        <f>B12+C11</f>
        <v>-6412500</v>
      </c>
      <c r="D12" s="12">
        <f t="shared" ref="D12:G12" si="0">C12+D11</f>
        <v>-4995000</v>
      </c>
      <c r="E12" s="12">
        <f t="shared" si="0"/>
        <v>-3175875</v>
      </c>
      <c r="F12" s="12">
        <f t="shared" si="0"/>
        <v>-868893.75</v>
      </c>
      <c r="G12" s="12">
        <f t="shared" si="0"/>
        <v>3029716.5625</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D4406-315C-420D-8160-45512775B900}">
  <dimension ref="A1:G35"/>
  <sheetViews>
    <sheetView workbookViewId="0">
      <selection activeCell="D13" sqref="D13"/>
    </sheetView>
    <sheetView tabSelected="1" topLeftCell="A5" workbookViewId="1"/>
  </sheetViews>
  <sheetFormatPr defaultRowHeight="14.5" x14ac:dyDescent="0.35"/>
  <cols>
    <col min="1" max="1" width="12" customWidth="1"/>
    <col min="2" max="5" width="13.81640625" bestFit="1" customWidth="1"/>
    <col min="6" max="7" width="12.90625" bestFit="1" customWidth="1"/>
  </cols>
  <sheetData>
    <row r="1" spans="1:7" x14ac:dyDescent="0.35">
      <c r="A1" s="1" t="s">
        <v>20</v>
      </c>
      <c r="B1" s="3" t="s">
        <v>42</v>
      </c>
      <c r="C1" s="3" t="s">
        <v>43</v>
      </c>
      <c r="D1" s="3" t="s">
        <v>44</v>
      </c>
    </row>
    <row r="2" spans="1:7" ht="43.5" x14ac:dyDescent="0.35">
      <c r="A2" s="4" t="s">
        <v>9</v>
      </c>
      <c r="B2" s="13">
        <v>0.1</v>
      </c>
      <c r="C2" s="13">
        <f>assumptions!B9</f>
        <v>0.2</v>
      </c>
      <c r="D2" s="13">
        <v>0.3</v>
      </c>
    </row>
    <row r="3" spans="1:7" x14ac:dyDescent="0.35">
      <c r="A3" s="4" t="s">
        <v>10</v>
      </c>
      <c r="B3" s="13">
        <v>0.65</v>
      </c>
      <c r="C3" s="13">
        <f>assumptions!B10</f>
        <v>0.7</v>
      </c>
      <c r="D3" s="13">
        <v>0.75</v>
      </c>
    </row>
    <row r="4" spans="1:7" ht="29" x14ac:dyDescent="0.35">
      <c r="A4" s="4" t="s">
        <v>7</v>
      </c>
      <c r="B4" s="13">
        <v>0.1</v>
      </c>
      <c r="C4" s="13">
        <f>assumptions!B7</f>
        <v>0.1</v>
      </c>
      <c r="D4" s="13">
        <v>0.1</v>
      </c>
    </row>
    <row r="5" spans="1:7" ht="29" x14ac:dyDescent="0.35">
      <c r="A5" s="4" t="s">
        <v>4</v>
      </c>
      <c r="B5" s="12">
        <f>7500000</f>
        <v>7500000</v>
      </c>
      <c r="C5" s="12">
        <f>assumptions!B5</f>
        <v>7500000</v>
      </c>
      <c r="D5" s="12">
        <f t="shared" ref="D5" si="0">7500000</f>
        <v>7500000</v>
      </c>
    </row>
    <row r="8" spans="1:7" x14ac:dyDescent="0.35">
      <c r="A8" s="1" t="s">
        <v>20</v>
      </c>
      <c r="B8" s="3" t="s">
        <v>42</v>
      </c>
      <c r="C8" s="3" t="s">
        <v>43</v>
      </c>
      <c r="D8" s="3" t="s">
        <v>44</v>
      </c>
    </row>
    <row r="9" spans="1:7" x14ac:dyDescent="0.35">
      <c r="A9" s="4" t="s">
        <v>37</v>
      </c>
      <c r="B9" s="12">
        <f>NPV($B$4,C23:G23)-$B$5</f>
        <v>-2236340.3130064383</v>
      </c>
      <c r="C9" s="12">
        <f>investment_analysis!B3</f>
        <v>23289.012486726046</v>
      </c>
      <c r="D9" s="12">
        <f>NPV($D$4,C34:G34)+B34</f>
        <v>2858377.3540679626</v>
      </c>
    </row>
    <row r="10" spans="1:7" x14ac:dyDescent="0.35">
      <c r="A10" s="4" t="s">
        <v>38</v>
      </c>
      <c r="B10" s="16">
        <f>IRR(B23:G23)</f>
        <v>-8.7571478203426478E-3</v>
      </c>
      <c r="C10" s="16">
        <f>investment_analysis!B4</f>
        <v>0.10099371796614443</v>
      </c>
      <c r="D10" s="16">
        <f>IRR(B34:G34)</f>
        <v>0.20729579328648451</v>
      </c>
      <c r="E10" s="2"/>
    </row>
    <row r="11" spans="1:7" x14ac:dyDescent="0.35">
      <c r="A11" s="4" t="s">
        <v>39</v>
      </c>
      <c r="B11" s="16">
        <f>(SUM(C23:G23)-ABS(B23))/ABS(B23)</f>
        <v>-3.0319541666666169E-2</v>
      </c>
      <c r="C11" s="16">
        <f>investment_analysis!B5</f>
        <v>0.40396220833333335</v>
      </c>
      <c r="D11" s="16">
        <f>(SUM(C34:G34)-ABS(B34))/ABS(B34)</f>
        <v>0.95458395833333332</v>
      </c>
      <c r="E11" s="2"/>
    </row>
    <row r="12" spans="1:7" ht="29" x14ac:dyDescent="0.35">
      <c r="A12" s="4" t="s">
        <v>46</v>
      </c>
      <c r="B12" s="4" t="s">
        <v>45</v>
      </c>
      <c r="C12" s="14">
        <f>investment_analysis!B6</f>
        <v>4.2228726854833614</v>
      </c>
      <c r="D12" s="14">
        <f>3+ABS(E35)/F34</f>
        <v>3.5811367827313156</v>
      </c>
      <c r="E12" s="2"/>
    </row>
    <row r="14" spans="1:7" x14ac:dyDescent="0.35">
      <c r="A14" s="9" t="s">
        <v>42</v>
      </c>
    </row>
    <row r="15" spans="1:7" x14ac:dyDescent="0.35">
      <c r="A15" s="1" t="s">
        <v>20</v>
      </c>
      <c r="B15" s="1" t="s">
        <v>34</v>
      </c>
      <c r="C15" s="3" t="s">
        <v>21</v>
      </c>
      <c r="D15" s="3" t="s">
        <v>22</v>
      </c>
      <c r="E15" s="3" t="s">
        <v>23</v>
      </c>
      <c r="F15" s="3" t="s">
        <v>24</v>
      </c>
      <c r="G15" s="3" t="s">
        <v>25</v>
      </c>
    </row>
    <row r="16" spans="1:7" x14ac:dyDescent="0.35">
      <c r="A16" s="4" t="s">
        <v>33</v>
      </c>
      <c r="B16" s="15">
        <v>0</v>
      </c>
      <c r="C16" s="12">
        <f>assumptions!B8</f>
        <v>3500000</v>
      </c>
      <c r="D16" s="12">
        <f>C16*(1+$B$2)</f>
        <v>3850000.0000000005</v>
      </c>
      <c r="E16" s="12">
        <f>D16*(1+$B$2)</f>
        <v>4235000.0000000009</v>
      </c>
      <c r="F16" s="12">
        <f>E16*(1+$B$2)</f>
        <v>4658500.0000000019</v>
      </c>
      <c r="G16" s="12">
        <f>F16*(1+$B$2)</f>
        <v>5124350.0000000028</v>
      </c>
    </row>
    <row r="17" spans="1:7" x14ac:dyDescent="0.35">
      <c r="A17" s="4" t="s">
        <v>27</v>
      </c>
      <c r="B17" s="15">
        <v>0</v>
      </c>
      <c r="C17" s="12">
        <f>C16*$B$3</f>
        <v>2275000</v>
      </c>
      <c r="D17" s="12">
        <f>D16*$B$3</f>
        <v>2502500.0000000005</v>
      </c>
      <c r="E17" s="12">
        <f>E16*$B$3</f>
        <v>2752750.0000000009</v>
      </c>
      <c r="F17" s="12">
        <f>F16*$B$3</f>
        <v>3028025.0000000014</v>
      </c>
      <c r="G17" s="12">
        <f>G16*$B$3</f>
        <v>3330827.5000000019</v>
      </c>
    </row>
    <row r="18" spans="1:7" ht="43.5" x14ac:dyDescent="0.35">
      <c r="A18" s="4" t="s">
        <v>28</v>
      </c>
      <c r="B18" s="15">
        <v>0</v>
      </c>
      <c r="C18" s="12">
        <f>assumptions!$B$11</f>
        <v>1000000</v>
      </c>
      <c r="D18" s="12">
        <f>C18*(1+assumptions!$B$12)</f>
        <v>1050000</v>
      </c>
      <c r="E18" s="12">
        <f>D18*(1+assumptions!$B$12)</f>
        <v>1102500</v>
      </c>
      <c r="F18" s="12">
        <f>E18*(1+assumptions!$B$12)</f>
        <v>1157625</v>
      </c>
      <c r="G18" s="12">
        <f>F18*(1+assumptions!$B$12)</f>
        <v>1215506.25</v>
      </c>
    </row>
    <row r="19" spans="1:7" ht="29" x14ac:dyDescent="0.35">
      <c r="A19" s="4" t="s">
        <v>29</v>
      </c>
      <c r="B19" s="15">
        <v>0</v>
      </c>
      <c r="C19" s="12">
        <f>C17-C18</f>
        <v>1275000</v>
      </c>
      <c r="D19" s="12">
        <f t="shared" ref="D19:G19" si="1">D17-D18</f>
        <v>1452500.0000000005</v>
      </c>
      <c r="E19" s="12">
        <f t="shared" si="1"/>
        <v>1650250.0000000009</v>
      </c>
      <c r="F19" s="12">
        <f t="shared" si="1"/>
        <v>1870400.0000000014</v>
      </c>
      <c r="G19" s="12">
        <f t="shared" si="1"/>
        <v>2115321.2500000019</v>
      </c>
    </row>
    <row r="20" spans="1:7" x14ac:dyDescent="0.35">
      <c r="A20" s="4" t="s">
        <v>31</v>
      </c>
      <c r="B20" s="15">
        <v>0</v>
      </c>
      <c r="C20" s="10">
        <f>MAX(0,C19*assumptions!$B$13)</f>
        <v>318750</v>
      </c>
      <c r="D20" s="10">
        <f>MAX(0,D19*assumptions!$B$13)</f>
        <v>363125.00000000012</v>
      </c>
      <c r="E20" s="10">
        <f>MAX(0,E19*assumptions!$B$13)</f>
        <v>412562.50000000023</v>
      </c>
      <c r="F20" s="10">
        <f>MAX(0,F19*assumptions!$B$13)</f>
        <v>467600.00000000035</v>
      </c>
      <c r="G20" s="10">
        <f>MAX(0,G19*assumptions!$B$13)</f>
        <v>528830.31250000047</v>
      </c>
    </row>
    <row r="21" spans="1:7" ht="43.5" x14ac:dyDescent="0.35">
      <c r="A21" s="4" t="s">
        <v>32</v>
      </c>
      <c r="B21" s="15">
        <v>0</v>
      </c>
      <c r="C21" s="12">
        <f>C19-C20</f>
        <v>956250</v>
      </c>
      <c r="D21" s="12">
        <f t="shared" ref="D21:G21" si="2">D19-D20</f>
        <v>1089375.0000000005</v>
      </c>
      <c r="E21" s="12">
        <f t="shared" si="2"/>
        <v>1237687.5000000007</v>
      </c>
      <c r="F21" s="12">
        <f t="shared" si="2"/>
        <v>1402800.0000000009</v>
      </c>
      <c r="G21" s="12">
        <f t="shared" si="2"/>
        <v>1586490.9375000014</v>
      </c>
    </row>
    <row r="22" spans="1:7" ht="29" x14ac:dyDescent="0.35">
      <c r="A22" s="4" t="s">
        <v>14</v>
      </c>
      <c r="B22" s="15">
        <v>0</v>
      </c>
      <c r="C22" s="12">
        <v>0</v>
      </c>
      <c r="D22" s="12">
        <v>0</v>
      </c>
      <c r="E22" s="12">
        <v>0</v>
      </c>
      <c r="F22" s="12">
        <v>0</v>
      </c>
      <c r="G22" s="12">
        <f>assumptions!$B$14</f>
        <v>1000000</v>
      </c>
    </row>
    <row r="23" spans="1:7" ht="29" x14ac:dyDescent="0.35">
      <c r="A23" s="4" t="s">
        <v>35</v>
      </c>
      <c r="B23" s="15">
        <f>-$B$5</f>
        <v>-7500000</v>
      </c>
      <c r="C23" s="12">
        <f>C21+C22</f>
        <v>956250</v>
      </c>
      <c r="D23" s="12">
        <f t="shared" ref="D23:G23" si="3">D21+D22</f>
        <v>1089375.0000000005</v>
      </c>
      <c r="E23" s="12">
        <f t="shared" si="3"/>
        <v>1237687.5000000007</v>
      </c>
      <c r="F23" s="12">
        <f t="shared" si="3"/>
        <v>1402800.0000000009</v>
      </c>
      <c r="G23" s="12">
        <f t="shared" si="3"/>
        <v>2586490.9375000014</v>
      </c>
    </row>
    <row r="25" spans="1:7" x14ac:dyDescent="0.35">
      <c r="A25" s="9" t="s">
        <v>44</v>
      </c>
    </row>
    <row r="26" spans="1:7" x14ac:dyDescent="0.35">
      <c r="A26" s="1" t="s">
        <v>20</v>
      </c>
      <c r="B26" s="1" t="s">
        <v>34</v>
      </c>
      <c r="C26" s="3" t="s">
        <v>21</v>
      </c>
      <c r="D26" s="3" t="s">
        <v>22</v>
      </c>
      <c r="E26" s="3" t="s">
        <v>23</v>
      </c>
      <c r="F26" s="3" t="s">
        <v>24</v>
      </c>
      <c r="G26" s="3" t="s">
        <v>25</v>
      </c>
    </row>
    <row r="27" spans="1:7" x14ac:dyDescent="0.35">
      <c r="A27" s="4" t="s">
        <v>33</v>
      </c>
      <c r="B27" s="15">
        <v>0</v>
      </c>
      <c r="C27" s="12">
        <f>assumptions!B8</f>
        <v>3500000</v>
      </c>
      <c r="D27" s="12">
        <f>C27*(1+$D$2)</f>
        <v>4550000</v>
      </c>
      <c r="E27" s="12">
        <f t="shared" ref="E27:G27" si="4">D27*(1+$D$2)</f>
        <v>5915000</v>
      </c>
      <c r="F27" s="12">
        <f t="shared" si="4"/>
        <v>7689500</v>
      </c>
      <c r="G27" s="12">
        <f t="shared" si="4"/>
        <v>9996350</v>
      </c>
    </row>
    <row r="28" spans="1:7" x14ac:dyDescent="0.35">
      <c r="A28" s="4" t="s">
        <v>27</v>
      </c>
      <c r="B28" s="15">
        <v>0</v>
      </c>
      <c r="C28" s="12">
        <f>C27*$D$3</f>
        <v>2625000</v>
      </c>
      <c r="D28" s="12">
        <f t="shared" ref="D28:G28" si="5">D27*$D$3</f>
        <v>3412500</v>
      </c>
      <c r="E28" s="12">
        <f t="shared" si="5"/>
        <v>4436250</v>
      </c>
      <c r="F28" s="12">
        <f t="shared" si="5"/>
        <v>5767125</v>
      </c>
      <c r="G28" s="12">
        <f t="shared" si="5"/>
        <v>7497262.5</v>
      </c>
    </row>
    <row r="29" spans="1:7" ht="43.5" x14ac:dyDescent="0.35">
      <c r="A29" s="4" t="s">
        <v>28</v>
      </c>
      <c r="B29" s="15">
        <v>0</v>
      </c>
      <c r="C29" s="12">
        <f>assumptions!$B$11</f>
        <v>1000000</v>
      </c>
      <c r="D29" s="12">
        <f>C29*(1+assumptions!$B$12)</f>
        <v>1050000</v>
      </c>
      <c r="E29" s="12">
        <f>D29*(1+assumptions!$B$12)</f>
        <v>1102500</v>
      </c>
      <c r="F29" s="12">
        <f>E29*(1+assumptions!$B$12)</f>
        <v>1157625</v>
      </c>
      <c r="G29" s="12">
        <f>F29*(1+assumptions!$B$12)</f>
        <v>1215506.25</v>
      </c>
    </row>
    <row r="30" spans="1:7" ht="29" x14ac:dyDescent="0.35">
      <c r="A30" s="4" t="s">
        <v>29</v>
      </c>
      <c r="B30" s="15">
        <v>0</v>
      </c>
      <c r="C30" s="12">
        <f>C28-C29</f>
        <v>1625000</v>
      </c>
      <c r="D30" s="12">
        <f t="shared" ref="D30" si="6">D28-D29</f>
        <v>2362500</v>
      </c>
      <c r="E30" s="12">
        <f t="shared" ref="E30" si="7">E28-E29</f>
        <v>3333750</v>
      </c>
      <c r="F30" s="12">
        <f t="shared" ref="F30" si="8">F28-F29</f>
        <v>4609500</v>
      </c>
      <c r="G30" s="12">
        <f t="shared" ref="G30" si="9">G28-G29</f>
        <v>6281756.25</v>
      </c>
    </row>
    <row r="31" spans="1:7" x14ac:dyDescent="0.35">
      <c r="A31" s="4" t="s">
        <v>31</v>
      </c>
      <c r="B31" s="15">
        <v>0</v>
      </c>
      <c r="C31" s="10">
        <f>MAX(0,C30*assumptions!$B$13)</f>
        <v>406250</v>
      </c>
      <c r="D31" s="10">
        <f>MAX(0,D30*assumptions!$B$13)</f>
        <v>590625</v>
      </c>
      <c r="E31" s="10">
        <f>MAX(0,E30*assumptions!$B$13)</f>
        <v>833437.5</v>
      </c>
      <c r="F31" s="10">
        <f>MAX(0,F30*assumptions!$B$13)</f>
        <v>1152375</v>
      </c>
      <c r="G31" s="10">
        <f>MAX(0,G30*assumptions!$B$13)</f>
        <v>1570439.0625</v>
      </c>
    </row>
    <row r="32" spans="1:7" ht="43.5" x14ac:dyDescent="0.35">
      <c r="A32" s="4" t="s">
        <v>32</v>
      </c>
      <c r="B32" s="15">
        <v>0</v>
      </c>
      <c r="C32" s="12">
        <f>C30-C31</f>
        <v>1218750</v>
      </c>
      <c r="D32" s="12">
        <f t="shared" ref="D32" si="10">D30-D31</f>
        <v>1771875</v>
      </c>
      <c r="E32" s="12">
        <f t="shared" ref="E32" si="11">E30-E31</f>
        <v>2500312.5</v>
      </c>
      <c r="F32" s="12">
        <f t="shared" ref="F32" si="12">F30-F31</f>
        <v>3457125</v>
      </c>
      <c r="G32" s="12">
        <f t="shared" ref="G32" si="13">G30-G31</f>
        <v>4711317.1875</v>
      </c>
    </row>
    <row r="33" spans="1:7" ht="29" x14ac:dyDescent="0.35">
      <c r="A33" s="4" t="s">
        <v>14</v>
      </c>
      <c r="B33" s="15">
        <v>0</v>
      </c>
      <c r="C33" s="12">
        <v>0</v>
      </c>
      <c r="D33" s="12">
        <v>0</v>
      </c>
      <c r="E33" s="12">
        <v>0</v>
      </c>
      <c r="F33" s="12">
        <v>0</v>
      </c>
      <c r="G33" s="12">
        <f>assumptions!$B$14</f>
        <v>1000000</v>
      </c>
    </row>
    <row r="34" spans="1:7" ht="29" x14ac:dyDescent="0.35">
      <c r="A34" s="4" t="s">
        <v>35</v>
      </c>
      <c r="B34" s="15">
        <f>-$B$5</f>
        <v>-7500000</v>
      </c>
      <c r="C34" s="12">
        <f>C32+C33</f>
        <v>1218750</v>
      </c>
      <c r="D34" s="12">
        <f t="shared" ref="D34" si="14">D32+D33</f>
        <v>1771875</v>
      </c>
      <c r="E34" s="12">
        <f t="shared" ref="E34" si="15">E32+E33</f>
        <v>2500312.5</v>
      </c>
      <c r="F34" s="12">
        <f t="shared" ref="F34" si="16">F32+F33</f>
        <v>3457125</v>
      </c>
      <c r="G34" s="12">
        <f>G32+G33</f>
        <v>5711317.1875</v>
      </c>
    </row>
    <row r="35" spans="1:7" ht="29" x14ac:dyDescent="0.35">
      <c r="A35" s="4" t="s">
        <v>41</v>
      </c>
      <c r="B35" s="10">
        <f>B34</f>
        <v>-7500000</v>
      </c>
      <c r="C35" s="10">
        <f>B35+C34</f>
        <v>-6281250</v>
      </c>
      <c r="D35" s="10">
        <f t="shared" ref="D35:G35" si="17">C35+D34</f>
        <v>-4509375</v>
      </c>
      <c r="E35" s="10">
        <f t="shared" si="17"/>
        <v>-2009062.5</v>
      </c>
      <c r="F35" s="10">
        <f t="shared" si="17"/>
        <v>1448062.5</v>
      </c>
      <c r="G35" s="10">
        <f t="shared" si="17"/>
        <v>7159379.6875</v>
      </c>
    </row>
  </sheetData>
  <pageMargins left="0.7" right="0.7" top="0.75" bottom="0.75" header="0.3" footer="0.3"/>
  <pageSetup orientation="portrait" r:id="rId1"/>
  <ignoredErrors>
    <ignoredError sqref="C20:G20 C5 C31:G31"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239FE-8B6A-472D-8D7E-F37782BF3DCF}">
  <dimension ref="A1:D32"/>
  <sheetViews>
    <sheetView tabSelected="1" zoomScale="54" workbookViewId="0">
      <selection activeCell="D13" sqref="D13"/>
    </sheetView>
    <sheetView workbookViewId="1"/>
  </sheetViews>
  <sheetFormatPr defaultRowHeight="14.5" x14ac:dyDescent="0.35"/>
  <cols>
    <col min="1" max="1" width="24.7265625" bestFit="1" customWidth="1"/>
    <col min="2" max="2" width="17.6328125" bestFit="1" customWidth="1"/>
    <col min="3" max="3" width="15.453125" bestFit="1" customWidth="1"/>
    <col min="4" max="4" width="11.36328125" bestFit="1" customWidth="1"/>
  </cols>
  <sheetData>
    <row r="1" spans="1:2" x14ac:dyDescent="0.35">
      <c r="A1" s="9" t="s">
        <v>48</v>
      </c>
    </row>
    <row r="3" spans="1:2" x14ac:dyDescent="0.35">
      <c r="A3" t="s">
        <v>50</v>
      </c>
    </row>
    <row r="4" spans="1:2" x14ac:dyDescent="0.35">
      <c r="A4" t="s">
        <v>40</v>
      </c>
      <c r="B4" t="s">
        <v>47</v>
      </c>
    </row>
    <row r="5" spans="1:2" x14ac:dyDescent="0.35">
      <c r="A5" t="s">
        <v>4</v>
      </c>
      <c r="B5" s="5">
        <f>assumptions!B5</f>
        <v>7500000</v>
      </c>
    </row>
    <row r="6" spans="1:2" x14ac:dyDescent="0.35">
      <c r="A6" t="s">
        <v>5</v>
      </c>
      <c r="B6" t="str">
        <f>assumptions!B6</f>
        <v>5 years</v>
      </c>
    </row>
    <row r="9" spans="1:2" x14ac:dyDescent="0.35">
      <c r="A9" s="1" t="s">
        <v>20</v>
      </c>
      <c r="B9" s="3" t="s">
        <v>3</v>
      </c>
    </row>
    <row r="10" spans="1:2" x14ac:dyDescent="0.35">
      <c r="A10" s="4" t="s">
        <v>37</v>
      </c>
      <c r="B10" s="6">
        <f>investment_analysis!B3</f>
        <v>23289.012486726046</v>
      </c>
    </row>
    <row r="11" spans="1:2" x14ac:dyDescent="0.35">
      <c r="A11" s="4" t="s">
        <v>38</v>
      </c>
      <c r="B11" s="7">
        <f>investment_analysis!B4</f>
        <v>0.10099371796614443</v>
      </c>
    </row>
    <row r="12" spans="1:2" x14ac:dyDescent="0.35">
      <c r="A12" s="4" t="s">
        <v>39</v>
      </c>
      <c r="B12" s="7">
        <f>investment_analysis!B5</f>
        <v>0.40396220833333335</v>
      </c>
    </row>
    <row r="13" spans="1:2" x14ac:dyDescent="0.35">
      <c r="A13" s="4" t="s">
        <v>46</v>
      </c>
      <c r="B13" s="14">
        <f>investment_analysis!B6</f>
        <v>4.2228726854833614</v>
      </c>
    </row>
    <row r="16" spans="1:2" ht="29" x14ac:dyDescent="0.35">
      <c r="A16" s="8" t="s">
        <v>51</v>
      </c>
    </row>
    <row r="17" spans="1:4" x14ac:dyDescent="0.35">
      <c r="A17" s="17" t="s">
        <v>52</v>
      </c>
      <c r="B17" s="17"/>
      <c r="C17" s="17"/>
      <c r="D17" s="17"/>
    </row>
    <row r="18" spans="1:4" ht="60.5" customHeight="1" x14ac:dyDescent="0.35">
      <c r="A18" s="17"/>
      <c r="B18" s="17"/>
      <c r="C18" s="17"/>
      <c r="D18" s="17"/>
    </row>
    <row r="20" spans="1:4" x14ac:dyDescent="0.35">
      <c r="A20" s="9" t="s">
        <v>53</v>
      </c>
    </row>
    <row r="21" spans="1:4" x14ac:dyDescent="0.35">
      <c r="A21" s="1" t="s">
        <v>20</v>
      </c>
      <c r="B21" s="3" t="s">
        <v>42</v>
      </c>
      <c r="C21" s="3" t="s">
        <v>43</v>
      </c>
      <c r="D21" s="3" t="s">
        <v>44</v>
      </c>
    </row>
    <row r="22" spans="1:4" x14ac:dyDescent="0.35">
      <c r="A22" s="4" t="s">
        <v>37</v>
      </c>
      <c r="B22" s="6">
        <f>scenario_analysis!B9</f>
        <v>-2236340.3130064383</v>
      </c>
      <c r="C22" s="12">
        <f>investment_analysis!B3</f>
        <v>23289.012486726046</v>
      </c>
      <c r="D22" s="6">
        <f>scenario_analysis!D9</f>
        <v>2858377.3540679626</v>
      </c>
    </row>
    <row r="23" spans="1:4" x14ac:dyDescent="0.35">
      <c r="A23" s="4" t="s">
        <v>38</v>
      </c>
      <c r="B23" s="13">
        <f>scenario_analysis!B10</f>
        <v>-8.7571478203426478E-3</v>
      </c>
      <c r="C23" s="13">
        <f>investment_analysis!B4</f>
        <v>0.10099371796614443</v>
      </c>
      <c r="D23" s="13">
        <f>scenario_analysis!D10</f>
        <v>0.20729579328648451</v>
      </c>
    </row>
    <row r="24" spans="1:4" x14ac:dyDescent="0.35">
      <c r="A24" s="4" t="s">
        <v>39</v>
      </c>
      <c r="B24" s="13">
        <f>scenario_analysis!B11</f>
        <v>-3.0319541666666169E-2</v>
      </c>
      <c r="C24" s="13">
        <f>investment_analysis!B5</f>
        <v>0.40396220833333335</v>
      </c>
      <c r="D24" s="13">
        <f>scenario_analysis!D11</f>
        <v>0.95458395833333332</v>
      </c>
    </row>
    <row r="25" spans="1:4" x14ac:dyDescent="0.35">
      <c r="A25" s="4" t="s">
        <v>46</v>
      </c>
      <c r="B25" s="6" t="str">
        <f>scenario_analysis!B12</f>
        <v>&gt; 5</v>
      </c>
      <c r="C25" s="14">
        <f>investment_analysis!B6</f>
        <v>4.2228726854833614</v>
      </c>
      <c r="D25" s="14">
        <f>scenario_analysis!D12</f>
        <v>3.5811367827313156</v>
      </c>
    </row>
    <row r="28" spans="1:4" x14ac:dyDescent="0.35">
      <c r="A28" s="9" t="s">
        <v>54</v>
      </c>
    </row>
    <row r="29" spans="1:4" ht="116" customHeight="1" x14ac:dyDescent="0.35">
      <c r="A29" s="18" t="s">
        <v>55</v>
      </c>
      <c r="B29" s="18"/>
    </row>
    <row r="30" spans="1:4" ht="130.5" customHeight="1" x14ac:dyDescent="0.35">
      <c r="A30" s="17" t="s">
        <v>56</v>
      </c>
      <c r="B30" s="17"/>
    </row>
    <row r="31" spans="1:4" ht="116" customHeight="1" x14ac:dyDescent="0.35">
      <c r="A31" s="17" t="s">
        <v>57</v>
      </c>
      <c r="B31" s="17"/>
    </row>
    <row r="32" spans="1:4" ht="159.5" customHeight="1" x14ac:dyDescent="0.35">
      <c r="A32" s="17" t="s">
        <v>58</v>
      </c>
      <c r="B32" s="17"/>
    </row>
  </sheetData>
  <mergeCells count="5">
    <mergeCell ref="A17:D18"/>
    <mergeCell ref="A29:B29"/>
    <mergeCell ref="A30:B30"/>
    <mergeCell ref="A31:B31"/>
    <mergeCell ref="A32:B3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assumptions</vt:lpstr>
      <vt:lpstr>financial_projection</vt:lpstr>
      <vt:lpstr>investment_analysis</vt:lpstr>
      <vt:lpstr>scenario_analysis</vt:lpstr>
      <vt:lpstr>executive_summary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 Hoffman</dc:creator>
  <cp:lastModifiedBy>Lily Hoffman</cp:lastModifiedBy>
  <dcterms:created xsi:type="dcterms:W3CDTF">2026-09-05T01:43:38Z</dcterms:created>
  <dcterms:modified xsi:type="dcterms:W3CDTF">2026-09-05T15:39:13Z</dcterms:modified>
</cp:coreProperties>
</file>