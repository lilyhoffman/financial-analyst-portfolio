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yh\Documents\post-grad\financial_projects\project_1\"/>
    </mc:Choice>
  </mc:AlternateContent>
  <xr:revisionPtr revIDLastSave="0" documentId="13_ncr:1_{371D1F73-9D03-4E1C-99AA-368091926207}" xr6:coauthVersionLast="47" xr6:coauthVersionMax="47" xr10:uidLastSave="{00000000-0000-0000-0000-000000000000}"/>
  <bookViews>
    <workbookView xWindow="-110" yWindow="-110" windowWidth="22780" windowHeight="14540" firstSheet="6" activeTab="7" xr2:uid="{F205E958-D2E6-4069-A459-1925625F5B95}"/>
  </bookViews>
  <sheets>
    <sheet name="raw_financials" sheetId="1" r:id="rId1"/>
    <sheet name="historical_analysis" sheetId="2" r:id="rId2"/>
    <sheet name="revenue_drivers" sheetId="7" r:id="rId3"/>
    <sheet name="forecast_assumptions" sheetId="3" r:id="rId4"/>
    <sheet name="forecast" sheetId="4" r:id="rId5"/>
    <sheet name="scenarios" sheetId="5" r:id="rId6"/>
    <sheet name="dashboard_data" sheetId="8" r:id="rId7"/>
    <sheet name="dashboard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9" i="6" l="1"/>
  <c r="C9" i="6"/>
  <c r="B6" i="6"/>
  <c r="C6" i="6"/>
  <c r="B7" i="6"/>
  <c r="C7" i="6"/>
  <c r="B8" i="6"/>
  <c r="C8" i="6"/>
  <c r="B10" i="6"/>
  <c r="C10" i="6"/>
  <c r="B33" i="8"/>
  <c r="C33" i="8"/>
  <c r="D33" i="8"/>
  <c r="B34" i="8"/>
  <c r="C34" i="8"/>
  <c r="D34" i="8"/>
  <c r="B25" i="8"/>
  <c r="D35" i="8"/>
  <c r="C35" i="8"/>
  <c r="B35" i="8"/>
  <c r="C28" i="8"/>
  <c r="C27" i="8"/>
  <c r="C26" i="8"/>
  <c r="C25" i="8"/>
  <c r="B24" i="8"/>
  <c r="B23" i="8"/>
  <c r="C18" i="8"/>
  <c r="C17" i="8"/>
  <c r="C16" i="8"/>
  <c r="C15" i="8"/>
  <c r="B15" i="8"/>
  <c r="B14" i="8"/>
  <c r="B13" i="8"/>
  <c r="C8" i="8"/>
  <c r="C7" i="8"/>
  <c r="C6" i="8"/>
  <c r="C5" i="8"/>
  <c r="B5" i="8"/>
  <c r="B4" i="8"/>
  <c r="B3" i="8"/>
  <c r="C18" i="5"/>
  <c r="C20" i="5" s="1"/>
  <c r="D18" i="5"/>
  <c r="B18" i="5"/>
  <c r="B19" i="5" s="1"/>
  <c r="D20" i="5"/>
  <c r="D19" i="5"/>
  <c r="C14" i="5"/>
  <c r="D14" i="5"/>
  <c r="B14" i="5"/>
  <c r="C13" i="5"/>
  <c r="D13" i="5"/>
  <c r="B13" i="5"/>
  <c r="C12" i="5"/>
  <c r="D12" i="5"/>
  <c r="B12" i="5"/>
  <c r="C7" i="5"/>
  <c r="C3" i="5"/>
  <c r="C4" i="5"/>
  <c r="C8" i="5"/>
  <c r="C6" i="5"/>
  <c r="C2" i="5"/>
  <c r="G22" i="4"/>
  <c r="G23" i="4"/>
  <c r="G24" i="4" s="1"/>
  <c r="F24" i="4"/>
  <c r="E21" i="4"/>
  <c r="F21" i="4"/>
  <c r="F22" i="4"/>
  <c r="F23" i="4"/>
  <c r="E22" i="4"/>
  <c r="E23" i="4"/>
  <c r="E24" i="4" s="1"/>
  <c r="F12" i="4"/>
  <c r="G12" i="4"/>
  <c r="E12" i="4"/>
  <c r="E13" i="4"/>
  <c r="D17" i="4"/>
  <c r="C24" i="4"/>
  <c r="D24" i="4"/>
  <c r="B24" i="4"/>
  <c r="B23" i="4"/>
  <c r="C23" i="4"/>
  <c r="D23" i="4"/>
  <c r="B22" i="4"/>
  <c r="C22" i="4"/>
  <c r="D22" i="4"/>
  <c r="C21" i="4"/>
  <c r="D21" i="4"/>
  <c r="B21" i="4"/>
  <c r="F3" i="4"/>
  <c r="G3" i="4"/>
  <c r="F13" i="4"/>
  <c r="G13" i="4"/>
  <c r="E8" i="4"/>
  <c r="E9" i="4"/>
  <c r="E3" i="4"/>
  <c r="E2" i="4"/>
  <c r="E7" i="4" s="1"/>
  <c r="C17" i="4"/>
  <c r="B17" i="4"/>
  <c r="C11" i="4"/>
  <c r="D11" i="4"/>
  <c r="B11" i="4"/>
  <c r="C3" i="4"/>
  <c r="D3" i="4"/>
  <c r="C5" i="4"/>
  <c r="D5" i="4"/>
  <c r="B5" i="4"/>
  <c r="D6" i="4"/>
  <c r="B6" i="4"/>
  <c r="C6" i="4"/>
  <c r="C16" i="4"/>
  <c r="D16" i="4"/>
  <c r="B16" i="4"/>
  <c r="C15" i="4"/>
  <c r="D15" i="4"/>
  <c r="B15" i="4"/>
  <c r="C14" i="4"/>
  <c r="D14" i="4"/>
  <c r="B14" i="4"/>
  <c r="C13" i="4"/>
  <c r="D13" i="4"/>
  <c r="B13" i="4"/>
  <c r="C12" i="4"/>
  <c r="D12" i="4"/>
  <c r="B12" i="4"/>
  <c r="C10" i="4"/>
  <c r="D10" i="4"/>
  <c r="B10" i="4"/>
  <c r="C9" i="4"/>
  <c r="D9" i="4"/>
  <c r="B9" i="4"/>
  <c r="C8" i="4"/>
  <c r="D8" i="4"/>
  <c r="B8" i="4"/>
  <c r="B7" i="4"/>
  <c r="C7" i="4"/>
  <c r="D7" i="4"/>
  <c r="C4" i="4"/>
  <c r="D4" i="4"/>
  <c r="B4" i="4"/>
  <c r="C2" i="4"/>
  <c r="D2" i="4"/>
  <c r="B2" i="4"/>
  <c r="D15" i="7"/>
  <c r="C15" i="7"/>
  <c r="D12" i="7"/>
  <c r="D13" i="7"/>
  <c r="D14" i="7"/>
  <c r="C12" i="7"/>
  <c r="C13" i="7"/>
  <c r="C14" i="7"/>
  <c r="D11" i="7"/>
  <c r="C11" i="7"/>
  <c r="B20" i="1"/>
  <c r="B34" i="2" s="1"/>
  <c r="B36" i="2" s="1"/>
  <c r="C20" i="1"/>
  <c r="C34" i="2" s="1"/>
  <c r="C36" i="2" s="1"/>
  <c r="D20" i="1"/>
  <c r="D34" i="2" s="1"/>
  <c r="D36" i="2" s="1"/>
  <c r="C33" i="2"/>
  <c r="D33" i="2"/>
  <c r="B33" i="2"/>
  <c r="C31" i="2"/>
  <c r="D31" i="2"/>
  <c r="D32" i="2" s="1"/>
  <c r="B31" i="2"/>
  <c r="D27" i="2"/>
  <c r="C27" i="2"/>
  <c r="C25" i="2"/>
  <c r="D25" i="2"/>
  <c r="D23" i="2"/>
  <c r="C23" i="2"/>
  <c r="C26" i="2" s="1"/>
  <c r="D22" i="2"/>
  <c r="C22" i="2"/>
  <c r="C17" i="2"/>
  <c r="D17" i="2"/>
  <c r="B17" i="2"/>
  <c r="C16" i="2"/>
  <c r="D16" i="2"/>
  <c r="B16" i="2"/>
  <c r="C15" i="2"/>
  <c r="D15" i="2"/>
  <c r="B15" i="2"/>
  <c r="C14" i="2"/>
  <c r="B14" i="2"/>
  <c r="D14" i="2"/>
  <c r="C8" i="2"/>
  <c r="D8" i="2"/>
  <c r="B8" i="2"/>
  <c r="D7" i="2"/>
  <c r="C7" i="2"/>
  <c r="B7" i="2"/>
  <c r="C6" i="2"/>
  <c r="D6" i="2"/>
  <c r="B6" i="2"/>
  <c r="B5" i="2"/>
  <c r="D5" i="2"/>
  <c r="C5" i="2"/>
  <c r="D4" i="2"/>
  <c r="C4" i="2"/>
  <c r="C19" i="5" l="1"/>
  <c r="B20" i="5"/>
  <c r="G21" i="4"/>
  <c r="F2" i="4"/>
  <c r="E4" i="4"/>
  <c r="E5" i="4"/>
  <c r="B9" i="2"/>
  <c r="B10" i="2" s="1"/>
  <c r="C9" i="2"/>
  <c r="C10" i="2" s="1"/>
  <c r="D9" i="2"/>
  <c r="D10" i="2" s="1"/>
  <c r="C32" i="2"/>
  <c r="B18" i="2"/>
  <c r="C18" i="2"/>
  <c r="D24" i="2"/>
  <c r="D18" i="2"/>
  <c r="C24" i="2"/>
  <c r="D26" i="2"/>
  <c r="D35" i="2"/>
  <c r="C35" i="2"/>
  <c r="E6" i="4" l="1"/>
  <c r="E10" i="4"/>
  <c r="F4" i="4"/>
  <c r="F9" i="4"/>
  <c r="F5" i="4"/>
  <c r="F8" i="4"/>
  <c r="G2" i="4"/>
  <c r="F7" i="4"/>
  <c r="G4" i="4" l="1"/>
  <c r="G8" i="4"/>
  <c r="G9" i="4"/>
  <c r="G7" i="4"/>
  <c r="G5" i="4"/>
  <c r="F10" i="4"/>
  <c r="F6" i="4"/>
  <c r="E11" i="4"/>
  <c r="E14" i="4"/>
  <c r="E15" i="4" s="1"/>
  <c r="E16" i="4" s="1"/>
  <c r="E17" i="4" s="1"/>
  <c r="F11" i="4" l="1"/>
  <c r="F14" i="4"/>
  <c r="F15" i="4" s="1"/>
  <c r="F16" i="4" s="1"/>
  <c r="F17" i="4" s="1"/>
  <c r="G10" i="4"/>
  <c r="G6" i="4"/>
  <c r="G11" i="4" l="1"/>
  <c r="G14" i="4"/>
  <c r="G15" i="4" s="1"/>
  <c r="G16" i="4" s="1"/>
  <c r="G17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tc={44BDD5AD-15A6-4EC6-A985-FC8BA9E33133}</author>
    <author>tc={EF001904-C021-4A78-8802-C5F155C1A1E7}</author>
  </authors>
  <commentList>
    <comment ref="B3" authorId="0" shapeId="0" xr:uid="{44BDD5AD-15A6-4EC6-A985-FC8BA9E33133}">
      <text>
        <t>[Threaded comment]
Your version of Excel allows you to read this threaded comment; however, any edits to it will get removed if the file is opened in a newer version of Excel. Learn more: https://go.microsoft.com/fwlink/?linkid=870924
Comment:
    Lily Hoffman:
Basis: 2026 based on midpoint of management's $51.0–$51.4B revenue guidance; 2027–2028 assume gradual growth moderation as Netflix scales, partially offset by continued membership, pricing, advertising, and international growth.</t>
      </text>
    </comment>
    <comment ref="B7" authorId="1" shapeId="0" xr:uid="{EF001904-C021-4A78-8802-C5F155C1A1E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 normalized interest expense near the recent historical level rather than tying it to revenue because interest expense is primarily driven by the company's debt structure and borrowing costs. </t>
      </text>
    </comment>
  </commentList>
</comments>
</file>

<file path=xl/sharedStrings.xml><?xml version="1.0" encoding="utf-8"?>
<sst xmlns="http://schemas.openxmlformats.org/spreadsheetml/2006/main" count="232" uniqueCount="147">
  <si>
    <t>Income Statement ($ millions)</t>
  </si>
  <si>
    <t>Revenue</t>
  </si>
  <si>
    <t>Cost of Revenues</t>
  </si>
  <si>
    <t>Gross Profit</t>
  </si>
  <si>
    <t>Technology &amp; Development</t>
  </si>
  <si>
    <t>General &amp; Administrative</t>
  </si>
  <si>
    <t>Operating Income</t>
  </si>
  <si>
    <t>Income Before Taxes</t>
  </si>
  <si>
    <t>Income Tax Expense</t>
  </si>
  <si>
    <t>Net Income</t>
  </si>
  <si>
    <t>Sales &amp; Marketing</t>
  </si>
  <si>
    <t>Interest Expense</t>
  </si>
  <si>
    <t>Interest &amp; Other Income (Expense)</t>
  </si>
  <si>
    <t>Metric</t>
  </si>
  <si>
    <t>Net Cash Provided by Operating Activities</t>
  </si>
  <si>
    <t>Purchases of Property &amp; Equipment</t>
  </si>
  <si>
    <t>Free Cash Flow</t>
  </si>
  <si>
    <t>Cash &amp; Cash Equivalents</t>
  </si>
  <si>
    <t>Short-Term Investments</t>
  </si>
  <si>
    <t>Other Current Assets</t>
  </si>
  <si>
    <t>Total Current Assets</t>
  </si>
  <si>
    <t>Content Assets, Net</t>
  </si>
  <si>
    <t>Property &amp; Equipment, Net</t>
  </si>
  <si>
    <t>Other Non-Current Assets</t>
  </si>
  <si>
    <t>Total Assets</t>
  </si>
  <si>
    <t>Current Content Liabilities</t>
  </si>
  <si>
    <t>Accounts Payable</t>
  </si>
  <si>
    <t>Accrued Expenses &amp; Other Liabilities</t>
  </si>
  <si>
    <t>Deferred Revenue</t>
  </si>
  <si>
    <t>Short-Term Debt</t>
  </si>
  <si>
    <t>Total Current Liabilities</t>
  </si>
  <si>
    <t>Non-Current Content Liabilities</t>
  </si>
  <si>
    <t>Long-Term Debt</t>
  </si>
  <si>
    <t>Other Non-Current Liabilities</t>
  </si>
  <si>
    <t>Total Liabilities</t>
  </si>
  <si>
    <t>Total Stockholders' Equity</t>
  </si>
  <si>
    <t>Total Liabilities &amp; Equity</t>
  </si>
  <si>
    <t>Netflix Historical Financials</t>
  </si>
  <si>
    <t>Cash Flow ($ millions)</t>
  </si>
  <si>
    <t>Balance Sheet ($ millions)</t>
  </si>
  <si>
    <t>Netflix Historical Analysis</t>
  </si>
  <si>
    <t>Revenue Growth</t>
  </si>
  <si>
    <t>Gross Margin</t>
  </si>
  <si>
    <t>Operating Margin</t>
  </si>
  <si>
    <t>Net Margin</t>
  </si>
  <si>
    <t>FCF Margin</t>
  </si>
  <si>
    <t>Expense Analysis</t>
  </si>
  <si>
    <t>Cost of Revenues %</t>
  </si>
  <si>
    <t>Sales &amp; Marketing %</t>
  </si>
  <si>
    <t>Technology &amp; Development %</t>
  </si>
  <si>
    <t>G&amp;A %</t>
  </si>
  <si>
    <t>Total Operating Expenses %</t>
  </si>
  <si>
    <t>Balance Sheet &amp; Liquidity Analysis</t>
  </si>
  <si>
    <t>Cash &amp; Short-Term Investments</t>
  </si>
  <si>
    <t>Total Debt</t>
  </si>
  <si>
    <t>Net Debt</t>
  </si>
  <si>
    <t>Current Ratio</t>
  </si>
  <si>
    <t>Debt / Assets</t>
  </si>
  <si>
    <t xml:space="preserve">Content Assets / Total Assets </t>
  </si>
  <si>
    <t>Operating Cash Flow</t>
  </si>
  <si>
    <t>Operating Cash Flow Growth</t>
  </si>
  <si>
    <t>Capital Expenditures</t>
  </si>
  <si>
    <t>FCF Growth</t>
  </si>
  <si>
    <t>FCF / Net Income</t>
  </si>
  <si>
    <t>Cash Flow &amp; Content Analysis</t>
  </si>
  <si>
    <t>Additions to Content Assets</t>
  </si>
  <si>
    <t>Amortization of Content Assets</t>
  </si>
  <si>
    <t>Netflix Revenue Driver Analysis</t>
  </si>
  <si>
    <t>Regional Revenue ($ millions)</t>
  </si>
  <si>
    <t>UCAN</t>
  </si>
  <si>
    <t>EMEA</t>
  </si>
  <si>
    <t>LATAM</t>
  </si>
  <si>
    <t>APAC</t>
  </si>
  <si>
    <t>Total Streaming Revenue</t>
  </si>
  <si>
    <t>Regional Revenue Growth</t>
  </si>
  <si>
    <t>UCAN Growth</t>
  </si>
  <si>
    <t>EMEA Growth</t>
  </si>
  <si>
    <t>LATAM Growth</t>
  </si>
  <si>
    <t>APAC Growth</t>
  </si>
  <si>
    <t>Total Streaming Revenue Growth</t>
  </si>
  <si>
    <t>Revenue Driver</t>
  </si>
  <si>
    <t>2025 Evidence</t>
  </si>
  <si>
    <t>Forecast Implication</t>
  </si>
  <si>
    <t>Membership Growth</t>
  </si>
  <si>
    <t>Netflix identified membership growth as a revenue driver</t>
  </si>
  <si>
    <t>Supports continued revenue growth</t>
  </si>
  <si>
    <t>Pricing</t>
  </si>
  <si>
    <t>Netflix identified price increases as a revenue driver</t>
  </si>
  <si>
    <t>Higher pricing can increase revenue per member</t>
  </si>
  <si>
    <t>Advertising</t>
  </si>
  <si>
    <t>Netflix identified increased advertising revenue as a growth driver</t>
  </si>
  <si>
    <t>Provides an additional revenue growth opportunity</t>
  </si>
  <si>
    <t>International Growth</t>
  </si>
  <si>
    <t>APAC +21.3%, EMEA +17.2%, UCAN +15.0%, LATAM +10.7%</t>
  </si>
  <si>
    <t>International markets, particularly APAC/EMEA, support future growth</t>
  </si>
  <si>
    <t>Foreign Exchange</t>
  </si>
  <si>
    <t>FX partially offset reported revenue growth</t>
  </si>
  <si>
    <t>Creates potential volatility in reported revenue</t>
  </si>
  <si>
    <t>Netflix Forecast Assumptions</t>
  </si>
  <si>
    <t>2026E</t>
  </si>
  <si>
    <t>2027E</t>
  </si>
  <si>
    <t>2028E</t>
  </si>
  <si>
    <t>Cost of Revenues % of Revenue</t>
  </si>
  <si>
    <t>Sales &amp; Marketing % of Revenue</t>
  </si>
  <si>
    <t>Technology &amp; Development % of Revenue</t>
  </si>
  <si>
    <t>G&amp;A % of Revenue</t>
  </si>
  <si>
    <t>Tax Rate</t>
  </si>
  <si>
    <t>CapEx % of Revenue</t>
  </si>
  <si>
    <t>Management Guidance / Model Check</t>
  </si>
  <si>
    <t>Revenue Guidance Midpoint ($B)</t>
  </si>
  <si>
    <t>Operating Margin Guidance</t>
  </si>
  <si>
    <t>2025A</t>
  </si>
  <si>
    <t>Free Cash Flow Guidance ($B)</t>
  </si>
  <si>
    <t>Other Income (Expense)</t>
  </si>
  <si>
    <t>Netflix Financial Forecast ($ millions)</t>
  </si>
  <si>
    <t>2023A</t>
  </si>
  <si>
    <t>2024A</t>
  </si>
  <si>
    <t>Interest Expense ($M)</t>
  </si>
  <si>
    <t>Cash Flow Forecast ($ millions)</t>
  </si>
  <si>
    <t>Netflix Scenario Analysis</t>
  </si>
  <si>
    <t>Bear Case</t>
  </si>
  <si>
    <t>Base Case</t>
  </si>
  <si>
    <t>Bull Case</t>
  </si>
  <si>
    <t>2027E Revenue Growth</t>
  </si>
  <si>
    <t>2027E Operating Margin</t>
  </si>
  <si>
    <t>2027E FCF Margin</t>
  </si>
  <si>
    <t>2028E Revenue Growth</t>
  </si>
  <si>
    <t>2028E Operating Margin</t>
  </si>
  <si>
    <t>2028E FCF Margin</t>
  </si>
  <si>
    <t>2027E Scenario Outputs ($ millions)</t>
  </si>
  <si>
    <t>2028E Scenario Outputs ($ millions)</t>
  </si>
  <si>
    <t>Historical Performance (2023-2025) | Forecast (2026-2028)</t>
  </si>
  <si>
    <t>Key Metric</t>
  </si>
  <si>
    <t>Year</t>
  </si>
  <si>
    <t>2028 Scenario</t>
  </si>
  <si>
    <t>NETFLIX FINANCIAL PERFORMANCE &amp; FORECAST</t>
  </si>
  <si>
    <t>Actual</t>
  </si>
  <si>
    <t>Forecast</t>
  </si>
  <si>
    <t>FCF</t>
  </si>
  <si>
    <t>Revenue ($B)</t>
  </si>
  <si>
    <t>Free Cash Flow ($B)</t>
  </si>
  <si>
    <t>Cases In Billions ($B)</t>
  </si>
  <si>
    <t>S</t>
  </si>
  <si>
    <t>Key Takeaways</t>
  </si>
  <si>
    <r>
      <t xml:space="preserve">Base-case revenue reaches </t>
    </r>
    <r>
      <rPr>
        <b/>
        <sz val="11"/>
        <color theme="1"/>
        <rFont val="Aptos Narrow"/>
        <family val="2"/>
        <scheme val="minor"/>
      </rPr>
      <t>$62.8B by 2028</t>
    </r>
    <r>
      <rPr>
        <sz val="11"/>
        <color theme="1"/>
        <rFont val="Aptos Narrow"/>
        <family val="2"/>
        <scheme val="minor"/>
      </rPr>
      <t>, supported by pricing, advertising, membership, and international growth.</t>
    </r>
  </si>
  <si>
    <r>
      <t xml:space="preserve">Operating margin expands from </t>
    </r>
    <r>
      <rPr>
        <b/>
        <sz val="11"/>
        <color theme="1"/>
        <rFont val="Aptos Narrow"/>
        <family val="2"/>
        <scheme val="minor"/>
      </rPr>
      <t>29.5% in 2025 to 33.9% in 2028</t>
    </r>
    <r>
      <rPr>
        <sz val="11"/>
        <color theme="1"/>
        <rFont val="Aptos Narrow"/>
        <family val="2"/>
        <scheme val="minor"/>
      </rPr>
      <t>, reflecting continued operating leverage.</t>
    </r>
  </si>
  <si>
    <r>
      <t xml:space="preserve">Free cash flow increases from </t>
    </r>
    <r>
      <rPr>
        <b/>
        <sz val="11"/>
        <color theme="1"/>
        <rFont val="Aptos Narrow"/>
        <family val="2"/>
        <scheme val="minor"/>
      </rPr>
      <t>$9.5B to $16.0B</t>
    </r>
    <r>
      <rPr>
        <sz val="11"/>
        <color theme="1"/>
        <rFont val="Aptos Narrow"/>
        <family val="2"/>
        <scheme val="minor"/>
      </rPr>
      <t xml:space="preserve">, with 2028 scenario outcomes ranging from </t>
    </r>
    <r>
      <rPr>
        <b/>
        <sz val="11"/>
        <color theme="1"/>
        <rFont val="Aptos Narrow"/>
        <family val="2"/>
        <scheme val="minor"/>
      </rPr>
      <t>$13.7B to $18.1B</t>
    </r>
    <r>
      <rPr>
        <sz val="11"/>
        <color theme="1"/>
        <rFont val="Aptos Narrow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</si>
</sst>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3" formatCode="_(* #,##0.00_);_(* \(#,##0.00\);_(* &quot;-&quot;??_);_(@_)"/>
    <numFmt numFmtId="168" formatCode="0.0%"/>
    <numFmt numFmtId="175" formatCode="&quot;$&quot;#,##0.0_);[Red]\(&quot;$&quot;#,##0.0\)"/>
    <numFmt numFmtId="178" formatCode="&quot;$&quot;0.0,&quot;B&quot;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/>
    <xf numFmtId="168" fontId="0" fillId="0" borderId="0" xfId="2" applyNumberFormat="1" applyFont="1" applyAlignment="1">
      <alignment horizontal="right" vertical="center" wrapText="1"/>
    </xf>
    <xf numFmtId="168" fontId="0" fillId="0" borderId="0" xfId="0" applyNumberFormat="1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  <xf numFmtId="8" fontId="0" fillId="0" borderId="0" xfId="0" applyNumberFormat="1" applyFont="1" applyAlignment="1">
      <alignment horizontal="right" vertical="center" wrapText="1"/>
    </xf>
    <xf numFmtId="8" fontId="0" fillId="0" borderId="0" xfId="0" applyNumberFormat="1" applyAlignment="1">
      <alignment horizontal="right" vertical="center" wrapText="1"/>
    </xf>
    <xf numFmtId="8" fontId="0" fillId="0" borderId="0" xfId="0" applyNumberFormat="1"/>
    <xf numFmtId="2" fontId="0" fillId="0" borderId="0" xfId="0" applyNumberFormat="1"/>
    <xf numFmtId="168" fontId="0" fillId="0" borderId="0" xfId="0" applyNumberFormat="1"/>
    <xf numFmtId="0" fontId="0" fillId="0" borderId="0" xfId="0" applyFont="1" applyAlignment="1">
      <alignment vertical="center" wrapText="1"/>
    </xf>
    <xf numFmtId="43" fontId="0" fillId="0" borderId="0" xfId="1" applyFont="1" applyAlignment="1">
      <alignment horizontal="right" vertical="center" wrapText="1"/>
    </xf>
    <xf numFmtId="43" fontId="2" fillId="0" borderId="0" xfId="1" applyFont="1"/>
    <xf numFmtId="43" fontId="0" fillId="0" borderId="0" xfId="1" applyFont="1"/>
    <xf numFmtId="43" fontId="2" fillId="0" borderId="0" xfId="1" applyFont="1" applyAlignment="1">
      <alignment horizontal="center" vertical="center" wrapText="1"/>
    </xf>
    <xf numFmtId="43" fontId="0" fillId="0" borderId="0" xfId="1" applyFont="1" applyAlignment="1">
      <alignment vertical="center" wrapText="1"/>
    </xf>
    <xf numFmtId="0" fontId="2" fillId="0" borderId="0" xfId="1" applyNumberFormat="1" applyFont="1" applyAlignment="1">
      <alignment horizontal="right" vertical="center" wrapText="1"/>
    </xf>
    <xf numFmtId="8" fontId="2" fillId="0" borderId="0" xfId="0" applyNumberFormat="1" applyFont="1" applyAlignment="1">
      <alignment horizontal="right" vertical="center" wrapText="1"/>
    </xf>
    <xf numFmtId="168" fontId="0" fillId="0" borderId="0" xfId="0" applyNumberFormat="1" applyFont="1" applyAlignment="1">
      <alignment horizontal="right" vertical="center" wrapText="1"/>
    </xf>
    <xf numFmtId="0" fontId="0" fillId="0" borderId="0" xfId="0" applyBorder="1" applyAlignment="1">
      <alignment vertical="center" wrapText="1"/>
    </xf>
    <xf numFmtId="8" fontId="0" fillId="0" borderId="0" xfId="0" applyNumberFormat="1" applyBorder="1" applyAlignment="1">
      <alignment horizontal="right" vertical="center" wrapText="1"/>
    </xf>
    <xf numFmtId="0" fontId="0" fillId="0" borderId="0" xfId="0" applyBorder="1"/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168" fontId="0" fillId="0" borderId="0" xfId="0" applyNumberForma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168" fontId="0" fillId="0" borderId="0" xfId="0" applyNumberFormat="1" applyAlignment="1">
      <alignment horizontal="left" vertical="center"/>
    </xf>
    <xf numFmtId="0" fontId="4" fillId="0" borderId="0" xfId="0" applyFont="1"/>
    <xf numFmtId="0" fontId="2" fillId="2" borderId="1" xfId="0" applyFont="1" applyFill="1" applyBorder="1" applyAlignment="1">
      <alignment horizontal="left" vertical="center" wrapText="1"/>
    </xf>
    <xf numFmtId="178" fontId="0" fillId="0" borderId="0" xfId="0" applyNumberFormat="1" applyAlignment="1">
      <alignment horizontal="left" vertical="center" wrapText="1"/>
    </xf>
    <xf numFmtId="178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indent="1"/>
    </xf>
    <xf numFmtId="175" fontId="0" fillId="0" borderId="0" xfId="0" applyNumberFormat="1" applyBorder="1" applyAlignment="1">
      <alignment horizontal="right" vertical="center" wrapText="1"/>
    </xf>
    <xf numFmtId="168" fontId="0" fillId="0" borderId="0" xfId="0" applyNumberFormat="1" applyBorder="1" applyAlignment="1">
      <alignment horizontal="right"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Font="1" applyBorder="1" applyAlignment="1">
      <alignment horizontal="left" vertical="center" wrapText="1"/>
    </xf>
    <xf numFmtId="168" fontId="0" fillId="0" borderId="0" xfId="0" applyNumberFormat="1" applyFont="1" applyBorder="1" applyAlignment="1">
      <alignment horizontal="right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Revenue: Actual vs.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dashboard_data!$B$2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dashboard_data!$A$3:$A$8</c:f>
              <c:strCache>
                <c:ptCount val="6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  <c:pt idx="3">
                  <c:v>2026E</c:v>
                </c:pt>
                <c:pt idx="4">
                  <c:v>2027E</c:v>
                </c:pt>
                <c:pt idx="5">
                  <c:v>2028E</c:v>
                </c:pt>
              </c:strCache>
            </c:strRef>
          </c:cat>
          <c:val>
            <c:numRef>
              <c:f>dashboard_data!$B$3:$B$8</c:f>
              <c:numCache>
                <c:formatCode>"$"0.0,"B"</c:formatCode>
                <c:ptCount val="6"/>
                <c:pt idx="0">
                  <c:v>33723.296999999999</c:v>
                </c:pt>
                <c:pt idx="1">
                  <c:v>39000.966</c:v>
                </c:pt>
                <c:pt idx="2">
                  <c:v>45183.036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DA-4FAD-A546-AF5CD3525BDA}"/>
            </c:ext>
          </c:extLst>
        </c:ser>
        <c:ser>
          <c:idx val="1"/>
          <c:order val="1"/>
          <c:tx>
            <c:strRef>
              <c:f>dashboard_data!$C$2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dashboard_data!$A$3:$A$8</c:f>
              <c:strCache>
                <c:ptCount val="6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  <c:pt idx="3">
                  <c:v>2026E</c:v>
                </c:pt>
                <c:pt idx="4">
                  <c:v>2027E</c:v>
                </c:pt>
                <c:pt idx="5">
                  <c:v>2028E</c:v>
                </c:pt>
              </c:strCache>
            </c:strRef>
          </c:cat>
          <c:val>
            <c:numRef>
              <c:f>dashboard_data!$C$3:$C$8</c:f>
              <c:numCache>
                <c:formatCode>"$"0.0,"B"</c:formatCode>
                <c:ptCount val="6"/>
                <c:pt idx="2">
                  <c:v>45183.036</c:v>
                </c:pt>
                <c:pt idx="3">
                  <c:v>51192.379787999998</c:v>
                </c:pt>
                <c:pt idx="4">
                  <c:v>57079.50346362</c:v>
                </c:pt>
                <c:pt idx="5">
                  <c:v>62787.453809982006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DA-4FAD-A546-AF5CD3525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0130927"/>
        <c:axId val="805053359"/>
      </c:lineChart>
      <c:catAx>
        <c:axId val="1320130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053359"/>
        <c:crosses val="autoZero"/>
        <c:auto val="1"/>
        <c:lblAlgn val="ctr"/>
        <c:lblOffset val="100"/>
        <c:noMultiLvlLbl val="0"/>
      </c:catAx>
      <c:valAx>
        <c:axId val="805053359"/>
        <c:scaling>
          <c:orientation val="minMax"/>
          <c:max val="7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0,&quot;B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130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Operating</a:t>
            </a:r>
            <a:r>
              <a:rPr lang="en-US" baseline="0"/>
              <a:t> Margin: Actual vs. Forecast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dashboard_data!$B$12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dashboard_data!$A$13:$A$18</c:f>
              <c:strCache>
                <c:ptCount val="6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  <c:pt idx="3">
                  <c:v>2026E</c:v>
                </c:pt>
                <c:pt idx="4">
                  <c:v>2027E</c:v>
                </c:pt>
                <c:pt idx="5">
                  <c:v>2028E</c:v>
                </c:pt>
              </c:strCache>
            </c:strRef>
          </c:cat>
          <c:val>
            <c:numRef>
              <c:f>dashboard_data!$B$13:$B$18</c:f>
              <c:numCache>
                <c:formatCode>0.0%</c:formatCode>
                <c:ptCount val="6"/>
                <c:pt idx="0">
                  <c:v>0.20620768485358948</c:v>
                </c:pt>
                <c:pt idx="1">
                  <c:v>0.26711169154117875</c:v>
                </c:pt>
                <c:pt idx="2">
                  <c:v>0.29494704605507249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19-4527-B799-3BFB8635E5C7}"/>
            </c:ext>
          </c:extLst>
        </c:ser>
        <c:ser>
          <c:idx val="1"/>
          <c:order val="1"/>
          <c:tx>
            <c:strRef>
              <c:f>dashboard_data!$C$12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dashboard_data!$A$13:$A$18</c:f>
              <c:strCache>
                <c:ptCount val="6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  <c:pt idx="3">
                  <c:v>2026E</c:v>
                </c:pt>
                <c:pt idx="4">
                  <c:v>2027E</c:v>
                </c:pt>
                <c:pt idx="5">
                  <c:v>2028E</c:v>
                </c:pt>
              </c:strCache>
            </c:strRef>
          </c:cat>
          <c:val>
            <c:numRef>
              <c:f>dashboard_data!$C$13:$C$18</c:f>
              <c:numCache>
                <c:formatCode>0.0%</c:formatCode>
                <c:ptCount val="6"/>
                <c:pt idx="2">
                  <c:v>0.29494704605507249</c:v>
                </c:pt>
                <c:pt idx="3">
                  <c:v>0.315</c:v>
                </c:pt>
                <c:pt idx="4">
                  <c:v>0.32700000000000001</c:v>
                </c:pt>
                <c:pt idx="5">
                  <c:v>0.33900000000000008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19-4527-B799-3BFB8635E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9390831"/>
        <c:axId val="804971759"/>
      </c:lineChart>
      <c:catAx>
        <c:axId val="939390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971759"/>
        <c:crosses val="autoZero"/>
        <c:auto val="1"/>
        <c:lblAlgn val="ctr"/>
        <c:lblOffset val="100"/>
        <c:noMultiLvlLbl val="0"/>
      </c:catAx>
      <c:valAx>
        <c:axId val="80497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390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Free Cash Flow: Actual vs. Forecast</a:t>
            </a:r>
            <a:endParaRPr lang="en-US" sz="1400" b="0" i="0" u="none" strike="noStrike" baseline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dashboard_data!$B$22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dashboard_data!$A$23:$A$28</c:f>
              <c:strCache>
                <c:ptCount val="6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  <c:pt idx="3">
                  <c:v>2026E</c:v>
                </c:pt>
                <c:pt idx="4">
                  <c:v>2027E</c:v>
                </c:pt>
                <c:pt idx="5">
                  <c:v>2028E</c:v>
                </c:pt>
              </c:strCache>
            </c:strRef>
          </c:cat>
          <c:val>
            <c:numRef>
              <c:f>dashboard_data!$B$23:$B$28</c:f>
              <c:numCache>
                <c:formatCode>"$"0.0,"B"</c:formatCode>
                <c:ptCount val="6"/>
                <c:pt idx="0">
                  <c:v>6925.7490000000007</c:v>
                </c:pt>
                <c:pt idx="1">
                  <c:v>6921.8259999999991</c:v>
                </c:pt>
                <c:pt idx="2">
                  <c:v>9461.0529999999999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47-4667-8495-8D53456DEF69}"/>
            </c:ext>
          </c:extLst>
        </c:ser>
        <c:ser>
          <c:idx val="1"/>
          <c:order val="1"/>
          <c:tx>
            <c:strRef>
              <c:f>dashboard_data!$C$22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dashboard_data!$A$23:$A$28</c:f>
              <c:strCache>
                <c:ptCount val="6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  <c:pt idx="3">
                  <c:v>2026E</c:v>
                </c:pt>
                <c:pt idx="4">
                  <c:v>2027E</c:v>
                </c:pt>
                <c:pt idx="5">
                  <c:v>2028E</c:v>
                </c:pt>
              </c:strCache>
            </c:strRef>
          </c:cat>
          <c:val>
            <c:numRef>
              <c:f>dashboard_data!$C$23:$C$28</c:f>
              <c:numCache>
                <c:formatCode>"$"0.0,"B"</c:formatCode>
                <c:ptCount val="6"/>
                <c:pt idx="2">
                  <c:v>9461.0529999999999</c:v>
                </c:pt>
                <c:pt idx="3">
                  <c:v>12500</c:v>
                </c:pt>
                <c:pt idx="4">
                  <c:v>14269.875865905</c:v>
                </c:pt>
                <c:pt idx="5">
                  <c:v>16010.800721545411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47-4667-8495-8D53456DE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4655487"/>
        <c:axId val="805062479"/>
      </c:lineChart>
      <c:catAx>
        <c:axId val="1374655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062479"/>
        <c:crosses val="autoZero"/>
        <c:auto val="1"/>
        <c:lblAlgn val="ctr"/>
        <c:lblOffset val="100"/>
        <c:noMultiLvlLbl val="0"/>
      </c:catAx>
      <c:valAx>
        <c:axId val="80506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0,&quot;B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655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2028 Scenario</a:t>
            </a:r>
            <a:r>
              <a:rPr lang="en-US" baseline="0"/>
              <a:t>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dashboard_data!$A$33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dashboard_data!$B$32:$D$32</c:f>
              <c:strCache>
                <c:ptCount val="3"/>
                <c:pt idx="0">
                  <c:v>Bear Case</c:v>
                </c:pt>
                <c:pt idx="1">
                  <c:v>Base Case</c:v>
                </c:pt>
                <c:pt idx="2">
                  <c:v>Bull Case</c:v>
                </c:pt>
              </c:strCache>
            </c:strRef>
          </c:cat>
          <c:val>
            <c:numRef>
              <c:f>dashboard_data!$B$33:$D$33</c:f>
              <c:numCache>
                <c:formatCode>"$"0.0,"B"</c:formatCode>
                <c:ptCount val="3"/>
                <c:pt idx="0">
                  <c:v>59705.672546744405</c:v>
                </c:pt>
                <c:pt idx="1">
                  <c:v>62787.453809982006</c:v>
                </c:pt>
                <c:pt idx="2">
                  <c:v>65946.023642901608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40-4A3F-9F8E-67364B53DDDB}"/>
            </c:ext>
          </c:extLst>
        </c:ser>
        <c:ser>
          <c:idx val="1"/>
          <c:order val="1"/>
          <c:tx>
            <c:strRef>
              <c:f>dashboard_data!$A$34</c:f>
              <c:strCache>
                <c:ptCount val="1"/>
                <c:pt idx="0">
                  <c:v>Operating Income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dashboard_data!$B$32:$D$32</c:f>
              <c:strCache>
                <c:ptCount val="3"/>
                <c:pt idx="0">
                  <c:v>Bear Case</c:v>
                </c:pt>
                <c:pt idx="1">
                  <c:v>Base Case</c:v>
                </c:pt>
                <c:pt idx="2">
                  <c:v>Bull Case</c:v>
                </c:pt>
              </c:strCache>
            </c:strRef>
          </c:cat>
          <c:val>
            <c:numRef>
              <c:f>dashboard_data!$B$34:$D$34</c:f>
              <c:numCache>
                <c:formatCode>"$"0.0,"B"</c:formatCode>
                <c:ptCount val="3"/>
                <c:pt idx="0">
                  <c:v>18210.230126757044</c:v>
                </c:pt>
                <c:pt idx="1">
                  <c:v>21284.946841583904</c:v>
                </c:pt>
                <c:pt idx="2">
                  <c:v>23410.838393230071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40-4A3F-9F8E-67364B53DDDB}"/>
            </c:ext>
          </c:extLst>
        </c:ser>
        <c:ser>
          <c:idx val="2"/>
          <c:order val="2"/>
          <c:tx>
            <c:strRef>
              <c:f>dashboard_data!$A$35</c:f>
              <c:strCache>
                <c:ptCount val="1"/>
                <c:pt idx="0">
                  <c:v>Free Cash Flow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dashboard_data!$B$32:$D$32</c:f>
              <c:strCache>
                <c:ptCount val="3"/>
                <c:pt idx="0">
                  <c:v>Bear Case</c:v>
                </c:pt>
                <c:pt idx="1">
                  <c:v>Base Case</c:v>
                </c:pt>
                <c:pt idx="2">
                  <c:v>Bull Case</c:v>
                </c:pt>
              </c:strCache>
            </c:strRef>
          </c:cat>
          <c:val>
            <c:numRef>
              <c:f>dashboard_data!$B$35:$D$35</c:f>
              <c:numCache>
                <c:formatCode>"$"0.0,"B"</c:formatCode>
                <c:ptCount val="3"/>
                <c:pt idx="0">
                  <c:v>13732.304685751214</c:v>
                </c:pt>
                <c:pt idx="1">
                  <c:v>16010.800721545411</c:v>
                </c:pt>
                <c:pt idx="2">
                  <c:v>18135.156501797945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40-4A3F-9F8E-67364B53D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8878447"/>
        <c:axId val="805036559"/>
      </c:barChart>
      <c:catAx>
        <c:axId val="1308878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036559"/>
        <c:crosses val="autoZero"/>
        <c:auto val="1"/>
        <c:lblAlgn val="ctr"/>
        <c:lblOffset val="100"/>
        <c:noMultiLvlLbl val="0"/>
      </c:catAx>
      <c:valAx>
        <c:axId val="80503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0,&quot;B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878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41226</xdr:colOff>
      <xdr:row>11</xdr:row>
      <xdr:rowOff>34624</xdr:rowOff>
    </xdr:from>
    <xdr:to>
      <xdr:col>3</xdr:col>
      <xdr:colOff>947761</xdr:colOff>
      <xdr:row>25</xdr:row>
      <xdr:rowOff>37911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6D4420-08C9-7F05-F063-5479B2B54B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137113</xdr:colOff>
      <xdr:row>11</xdr:row>
      <xdr:rowOff>32410</xdr:rowOff>
    </xdr:from>
    <xdr:to>
      <xdr:col>11</xdr:col>
      <xdr:colOff>140876</xdr:colOff>
      <xdr:row>25</xdr:row>
      <xdr:rowOff>27734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6E52FA-956D-8633-EE4F-196E86C910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35469</xdr:colOff>
      <xdr:row>26</xdr:row>
      <xdr:rowOff>28881</xdr:rowOff>
    </xdr:from>
    <xdr:to>
      <xdr:col>3</xdr:col>
      <xdr:colOff>966717</xdr:colOff>
      <xdr:row>43</xdr:row>
      <xdr:rowOff>28431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C84A75B-FF30-80F2-C29F-B3110A0B4D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133983</xdr:colOff>
      <xdr:row>26</xdr:row>
      <xdr:rowOff>49221</xdr:rowOff>
    </xdr:from>
    <xdr:to>
      <xdr:col>11</xdr:col>
      <xdr:colOff>123204</xdr:colOff>
      <xdr:row>43</xdr:row>
      <xdr:rowOff>56865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0454CE0-D0FA-FD9A-DC5E-9D64691DB0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ily Hoffman" id="{BA8383EA-701E-45BE-96D2-3592267C6984}" userId="a7412ceb2db44730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" dT="2026-09-02T17:01:26.09" personId="{BA8383EA-701E-45BE-96D2-3592267C6984}" id="{44BDD5AD-15A6-4EC6-A985-FC8BA9E33133}">
    <text>Lily Hoffman:
Basis: 2026 based on midpoint of management's $51.0–$51.4B revenue guidance; 2027–2028 assume gradual growth moderation as Netflix scales, partially offset by continued membership, pricing, advertising, and international growth.</text>
  </threadedComment>
  <threadedComment ref="B7" dT="2026-09-02T18:01:34.79" personId="{BA8383EA-701E-45BE-96D2-3592267C6984}" id="{EF001904-C021-4A78-8802-C5F155C1A1E7}">
    <text xml:space="preserve">I normalized interest expense near the recent historical level rather than tying it to revenue because interest expense is primarily driven by the company's debt structure and borrowing costs.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89376-9657-4C93-B2D9-1538C762CBA8}">
  <dimension ref="A1:D44"/>
  <sheetViews>
    <sheetView workbookViewId="0">
      <selection activeCell="A23" sqref="A23"/>
    </sheetView>
  </sheetViews>
  <sheetFormatPr defaultRowHeight="14.5" x14ac:dyDescent="0.35"/>
  <cols>
    <col min="1" max="1" width="24.1796875" style="18" bestFit="1" customWidth="1"/>
    <col min="2" max="4" width="11.54296875" style="18" bestFit="1" customWidth="1"/>
    <col min="5" max="16384" width="8.7265625" style="18"/>
  </cols>
  <sheetData>
    <row r="1" spans="1:4" x14ac:dyDescent="0.35">
      <c r="A1" s="17" t="s">
        <v>37</v>
      </c>
    </row>
    <row r="3" spans="1:4" ht="29" x14ac:dyDescent="0.35">
      <c r="A3" s="19" t="s">
        <v>0</v>
      </c>
      <c r="B3" s="21">
        <v>2023</v>
      </c>
      <c r="C3" s="21">
        <v>2024</v>
      </c>
      <c r="D3" s="21">
        <v>2025</v>
      </c>
    </row>
    <row r="4" spans="1:4" x14ac:dyDescent="0.35">
      <c r="A4" s="20" t="s">
        <v>1</v>
      </c>
      <c r="B4" s="16">
        <v>33723.296999999999</v>
      </c>
      <c r="C4" s="16">
        <v>39000.966</v>
      </c>
      <c r="D4" s="16">
        <v>45183.036</v>
      </c>
    </row>
    <row r="5" spans="1:4" x14ac:dyDescent="0.35">
      <c r="A5" s="20" t="s">
        <v>2</v>
      </c>
      <c r="B5" s="16">
        <v>19715.367999999999</v>
      </c>
      <c r="C5" s="16">
        <v>21038.464</v>
      </c>
      <c r="D5" s="16">
        <v>23275.329000000002</v>
      </c>
    </row>
    <row r="6" spans="1:4" x14ac:dyDescent="0.35">
      <c r="A6" s="20" t="s">
        <v>10</v>
      </c>
      <c r="B6" s="16">
        <v>2657.8829999999998</v>
      </c>
      <c r="C6" s="16">
        <v>2917.5540000000001</v>
      </c>
      <c r="D6" s="16">
        <v>3301.306</v>
      </c>
    </row>
    <row r="7" spans="1:4" x14ac:dyDescent="0.35">
      <c r="A7" s="20" t="s">
        <v>4</v>
      </c>
      <c r="B7" s="16">
        <v>2675.7579999999998</v>
      </c>
      <c r="C7" s="16">
        <v>2925.2950000000001</v>
      </c>
      <c r="D7" s="16">
        <v>3391.39</v>
      </c>
    </row>
    <row r="8" spans="1:4" x14ac:dyDescent="0.35">
      <c r="A8" s="20" t="s">
        <v>5</v>
      </c>
      <c r="B8" s="16">
        <v>1720.2850000000001</v>
      </c>
      <c r="C8" s="16">
        <v>1702.039</v>
      </c>
      <c r="D8" s="16">
        <v>1888.4079999999999</v>
      </c>
    </row>
    <row r="9" spans="1:4" x14ac:dyDescent="0.35">
      <c r="A9" s="20" t="s">
        <v>6</v>
      </c>
      <c r="B9" s="16">
        <v>6954.0029999999997</v>
      </c>
      <c r="C9" s="16">
        <v>10417.614</v>
      </c>
      <c r="D9" s="16">
        <v>13326.602999999999</v>
      </c>
    </row>
    <row r="10" spans="1:4" x14ac:dyDescent="0.35">
      <c r="A10" s="20" t="s">
        <v>11</v>
      </c>
      <c r="B10" s="16">
        <v>-699.82600000000002</v>
      </c>
      <c r="C10" s="16">
        <v>-718.73299999999995</v>
      </c>
      <c r="D10" s="16">
        <v>-776.51</v>
      </c>
    </row>
    <row r="11" spans="1:4" ht="29" x14ac:dyDescent="0.35">
      <c r="A11" s="20" t="s">
        <v>12</v>
      </c>
      <c r="B11" s="16">
        <v>-48.771999999999998</v>
      </c>
      <c r="C11" s="16">
        <v>266.77600000000001</v>
      </c>
      <c r="D11" s="16">
        <v>172.459</v>
      </c>
    </row>
    <row r="12" spans="1:4" x14ac:dyDescent="0.35">
      <c r="A12" s="20" t="s">
        <v>7</v>
      </c>
      <c r="B12" s="16">
        <v>6205.4049999999997</v>
      </c>
      <c r="C12" s="16">
        <v>9965.6569999999992</v>
      </c>
      <c r="D12" s="16">
        <v>12722.552</v>
      </c>
    </row>
    <row r="13" spans="1:4" x14ac:dyDescent="0.35">
      <c r="A13" s="20" t="s">
        <v>8</v>
      </c>
      <c r="B13" s="16">
        <v>797.41499999999996</v>
      </c>
      <c r="C13" s="16">
        <v>1254.0260000000001</v>
      </c>
      <c r="D13" s="16">
        <v>1741.3510000000001</v>
      </c>
    </row>
    <row r="14" spans="1:4" x14ac:dyDescent="0.35">
      <c r="A14" s="20" t="s">
        <v>9</v>
      </c>
      <c r="B14" s="16">
        <v>5407.99</v>
      </c>
      <c r="C14" s="16">
        <v>8711.6309999999994</v>
      </c>
      <c r="D14" s="16">
        <v>10981.200999999999</v>
      </c>
    </row>
    <row r="17" spans="1:4" x14ac:dyDescent="0.35">
      <c r="A17" s="19" t="s">
        <v>38</v>
      </c>
      <c r="B17" s="21">
        <v>2023</v>
      </c>
      <c r="C17" s="21">
        <v>2024</v>
      </c>
      <c r="D17" s="21">
        <v>2025</v>
      </c>
    </row>
    <row r="18" spans="1:4" ht="29" x14ac:dyDescent="0.35">
      <c r="A18" s="20" t="s">
        <v>14</v>
      </c>
      <c r="B18" s="16">
        <v>7274.3010000000004</v>
      </c>
      <c r="C18" s="16">
        <v>7361.3639999999996</v>
      </c>
      <c r="D18" s="16">
        <v>10149.272999999999</v>
      </c>
    </row>
    <row r="19" spans="1:4" ht="29" x14ac:dyDescent="0.35">
      <c r="A19" s="20" t="s">
        <v>15</v>
      </c>
      <c r="B19" s="16">
        <v>-348.55200000000002</v>
      </c>
      <c r="C19" s="16">
        <v>-439.53800000000001</v>
      </c>
      <c r="D19" s="16">
        <v>-688.22</v>
      </c>
    </row>
    <row r="20" spans="1:4" x14ac:dyDescent="0.35">
      <c r="A20" s="20" t="s">
        <v>16</v>
      </c>
      <c r="B20" s="16">
        <f>B18+B19</f>
        <v>6925.7490000000007</v>
      </c>
      <c r="C20" s="16">
        <f>C18+C19</f>
        <v>6921.8259999999991</v>
      </c>
      <c r="D20" s="16">
        <f>D18+D19</f>
        <v>9461.0529999999999</v>
      </c>
    </row>
    <row r="21" spans="1:4" x14ac:dyDescent="0.35">
      <c r="A21" s="20" t="s">
        <v>65</v>
      </c>
      <c r="B21" s="16">
        <v>-12554.7</v>
      </c>
      <c r="C21" s="16">
        <v>-16223.62</v>
      </c>
      <c r="D21" s="16">
        <v>-17096.62</v>
      </c>
    </row>
    <row r="22" spans="1:4" ht="29" x14ac:dyDescent="0.35">
      <c r="A22" s="20" t="s">
        <v>66</v>
      </c>
      <c r="B22" s="16">
        <v>14197.44</v>
      </c>
      <c r="C22" s="16">
        <v>15301.52</v>
      </c>
      <c r="D22" s="16">
        <v>16422.169999999998</v>
      </c>
    </row>
    <row r="23" spans="1:4" x14ac:dyDescent="0.35">
      <c r="A23" s="20"/>
      <c r="B23" s="16"/>
      <c r="C23" s="16"/>
      <c r="D23" s="16"/>
    </row>
    <row r="24" spans="1:4" x14ac:dyDescent="0.35">
      <c r="A24" s="19" t="s">
        <v>39</v>
      </c>
      <c r="B24" s="21">
        <v>2024</v>
      </c>
      <c r="C24" s="21">
        <v>2025</v>
      </c>
    </row>
    <row r="25" spans="1:4" x14ac:dyDescent="0.35">
      <c r="A25" s="20" t="s">
        <v>17</v>
      </c>
      <c r="B25" s="16">
        <v>7804.7330000000002</v>
      </c>
      <c r="C25" s="16">
        <v>9033.6810000000005</v>
      </c>
    </row>
    <row r="26" spans="1:4" x14ac:dyDescent="0.35">
      <c r="A26" s="20" t="s">
        <v>18</v>
      </c>
      <c r="B26" s="16">
        <v>1779.0060000000001</v>
      </c>
      <c r="C26" s="16">
        <v>28.678000000000001</v>
      </c>
    </row>
    <row r="27" spans="1:4" x14ac:dyDescent="0.35">
      <c r="A27" s="20" t="s">
        <v>19</v>
      </c>
      <c r="B27" s="16">
        <v>3516.64</v>
      </c>
      <c r="C27" s="16">
        <v>3957.8319999999999</v>
      </c>
    </row>
    <row r="28" spans="1:4" x14ac:dyDescent="0.35">
      <c r="A28" s="20" t="s">
        <v>20</v>
      </c>
      <c r="B28" s="16">
        <v>13100.379000000001</v>
      </c>
      <c r="C28" s="16">
        <v>13020.191000000001</v>
      </c>
    </row>
    <row r="29" spans="1:4" x14ac:dyDescent="0.35">
      <c r="A29" s="20" t="s">
        <v>21</v>
      </c>
      <c r="B29" s="16">
        <v>32452.462</v>
      </c>
      <c r="C29" s="16">
        <v>32778.392</v>
      </c>
    </row>
    <row r="30" spans="1:4" x14ac:dyDescent="0.35">
      <c r="A30" s="20" t="s">
        <v>22</v>
      </c>
      <c r="B30" s="16">
        <v>1593.7560000000001</v>
      </c>
      <c r="C30" s="16">
        <v>2004.35</v>
      </c>
    </row>
    <row r="31" spans="1:4" x14ac:dyDescent="0.35">
      <c r="A31" s="20" t="s">
        <v>23</v>
      </c>
      <c r="B31" s="16">
        <v>6483.777</v>
      </c>
      <c r="C31" s="16">
        <v>7794.06</v>
      </c>
    </row>
    <row r="32" spans="1:4" x14ac:dyDescent="0.35">
      <c r="A32" s="20" t="s">
        <v>24</v>
      </c>
      <c r="B32" s="16">
        <v>53630.374000000003</v>
      </c>
      <c r="C32" s="16">
        <v>55596.993000000002</v>
      </c>
    </row>
    <row r="33" spans="1:3" x14ac:dyDescent="0.35">
      <c r="A33" s="20" t="s">
        <v>25</v>
      </c>
      <c r="B33" s="16">
        <v>4393.6809999999996</v>
      </c>
      <c r="C33" s="16">
        <v>4084.8539999999998</v>
      </c>
    </row>
    <row r="34" spans="1:3" x14ac:dyDescent="0.35">
      <c r="A34" s="20" t="s">
        <v>26</v>
      </c>
      <c r="B34" s="16">
        <v>899.90899999999999</v>
      </c>
      <c r="C34" s="16">
        <v>900.61199999999997</v>
      </c>
    </row>
    <row r="35" spans="1:3" ht="29" x14ac:dyDescent="0.35">
      <c r="A35" s="20" t="s">
        <v>27</v>
      </c>
      <c r="B35" s="16">
        <v>2156.5439999999999</v>
      </c>
      <c r="C35" s="16">
        <v>3220.8690000000001</v>
      </c>
    </row>
    <row r="36" spans="1:3" x14ac:dyDescent="0.35">
      <c r="A36" s="20" t="s">
        <v>28</v>
      </c>
      <c r="B36" s="16">
        <v>1520.8130000000001</v>
      </c>
      <c r="C36" s="16">
        <v>1775.73</v>
      </c>
    </row>
    <row r="37" spans="1:3" x14ac:dyDescent="0.35">
      <c r="A37" s="20" t="s">
        <v>29</v>
      </c>
      <c r="B37" s="16">
        <v>1784.453</v>
      </c>
      <c r="C37" s="16">
        <v>998.86500000000001</v>
      </c>
    </row>
    <row r="38" spans="1:3" x14ac:dyDescent="0.35">
      <c r="A38" s="20" t="s">
        <v>30</v>
      </c>
      <c r="B38" s="16">
        <v>10755.4</v>
      </c>
      <c r="C38" s="16">
        <v>10980.93</v>
      </c>
    </row>
    <row r="39" spans="1:3" ht="29" x14ac:dyDescent="0.35">
      <c r="A39" s="20" t="s">
        <v>31</v>
      </c>
      <c r="B39" s="16">
        <v>1780.806</v>
      </c>
      <c r="C39" s="16">
        <v>1579.4760000000001</v>
      </c>
    </row>
    <row r="40" spans="1:3" x14ac:dyDescent="0.35">
      <c r="A40" s="20" t="s">
        <v>32</v>
      </c>
      <c r="B40" s="16">
        <v>13798.351000000001</v>
      </c>
      <c r="C40" s="16">
        <v>13463.971</v>
      </c>
    </row>
    <row r="41" spans="1:3" ht="29" x14ac:dyDescent="0.35">
      <c r="A41" s="20" t="s">
        <v>33</v>
      </c>
      <c r="B41" s="16">
        <v>2552.25</v>
      </c>
      <c r="C41" s="16">
        <v>2957.1280000000002</v>
      </c>
    </row>
    <row r="42" spans="1:3" x14ac:dyDescent="0.35">
      <c r="A42" s="20" t="s">
        <v>34</v>
      </c>
      <c r="B42" s="16">
        <v>28886.807000000001</v>
      </c>
      <c r="C42" s="16">
        <v>28981.505000000001</v>
      </c>
    </row>
    <row r="43" spans="1:3" x14ac:dyDescent="0.35">
      <c r="A43" s="20" t="s">
        <v>35</v>
      </c>
      <c r="B43" s="16">
        <v>24743.566999999999</v>
      </c>
      <c r="C43" s="16">
        <v>26615.488000000001</v>
      </c>
    </row>
    <row r="44" spans="1:3" x14ac:dyDescent="0.35">
      <c r="A44" s="20" t="s">
        <v>36</v>
      </c>
      <c r="B44" s="16">
        <v>53630.374000000003</v>
      </c>
      <c r="C44" s="16">
        <v>55596.993000000002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66C1D-FA11-49CB-9D19-D6903DDA0466}">
  <dimension ref="A1:D38"/>
  <sheetViews>
    <sheetView topLeftCell="A25" workbookViewId="0">
      <selection activeCell="A40" sqref="A40"/>
    </sheetView>
  </sheetViews>
  <sheetFormatPr defaultRowHeight="14.5" x14ac:dyDescent="0.35"/>
  <cols>
    <col min="1" max="1" width="29.81640625" bestFit="1" customWidth="1"/>
    <col min="2" max="2" width="10.26953125" bestFit="1" customWidth="1"/>
    <col min="3" max="3" width="12" bestFit="1" customWidth="1"/>
    <col min="4" max="4" width="10.54296875" bestFit="1" customWidth="1"/>
  </cols>
  <sheetData>
    <row r="1" spans="1:4" ht="43.5" x14ac:dyDescent="0.35">
      <c r="A1" s="5" t="s">
        <v>40</v>
      </c>
      <c r="B1" s="2"/>
      <c r="C1" s="2"/>
      <c r="D1" s="2"/>
    </row>
    <row r="2" spans="1:4" x14ac:dyDescent="0.35">
      <c r="A2" s="4"/>
      <c r="B2" s="2"/>
      <c r="C2" s="2"/>
      <c r="D2" s="2"/>
    </row>
    <row r="3" spans="1:4" x14ac:dyDescent="0.35">
      <c r="A3" s="5" t="s">
        <v>13</v>
      </c>
      <c r="B3" s="3">
        <v>2023</v>
      </c>
      <c r="C3" s="3">
        <v>2024</v>
      </c>
      <c r="D3" s="3">
        <v>2025</v>
      </c>
    </row>
    <row r="4" spans="1:4" ht="29" x14ac:dyDescent="0.35">
      <c r="A4" s="4" t="s">
        <v>41</v>
      </c>
      <c r="B4" s="2"/>
      <c r="C4" s="7">
        <f>raw_financials!C4/raw_financials!B4-1</f>
        <v>0.15649919994477424</v>
      </c>
      <c r="D4" s="7">
        <f>raw_financials!D4/raw_financials!C4-1</f>
        <v>0.15851068919677536</v>
      </c>
    </row>
    <row r="5" spans="1:4" ht="29" x14ac:dyDescent="0.35">
      <c r="A5" s="4" t="s">
        <v>3</v>
      </c>
      <c r="B5" s="11">
        <f>raw_financials!B4-raw_financials!B5</f>
        <v>14007.929</v>
      </c>
      <c r="C5" s="11">
        <f>raw_financials!C4-raw_financials!C5</f>
        <v>17962.502</v>
      </c>
      <c r="D5" s="11">
        <f>raw_financials!D4-raw_financials!D5</f>
        <v>21907.706999999999</v>
      </c>
    </row>
    <row r="6" spans="1:4" ht="29" x14ac:dyDescent="0.35">
      <c r="A6" s="4" t="s">
        <v>42</v>
      </c>
      <c r="B6" s="7">
        <f>(raw_financials!B4-raw_financials!B5) / raw_financials!B4</f>
        <v>0.41537839553469524</v>
      </c>
      <c r="C6" s="7">
        <f>(raw_financials!C4-raw_financials!C5) / raw_financials!C4</f>
        <v>0.46056556650417324</v>
      </c>
      <c r="D6" s="7">
        <f>(raw_financials!D4-raw_financials!D5) / raw_financials!D4</f>
        <v>0.48486575802475951</v>
      </c>
    </row>
    <row r="7" spans="1:4" ht="29" x14ac:dyDescent="0.35">
      <c r="A7" s="4" t="s">
        <v>43</v>
      </c>
      <c r="B7" s="8">
        <f>raw_financials!B9/raw_financials!B4</f>
        <v>0.20620768485358948</v>
      </c>
      <c r="C7" s="8">
        <f>raw_financials!C9/raw_financials!C4</f>
        <v>0.26711169154117875</v>
      </c>
      <c r="D7" s="8">
        <f>raw_financials!D9/raw_financials!D4</f>
        <v>0.29494704605507249</v>
      </c>
    </row>
    <row r="8" spans="1:4" ht="29" x14ac:dyDescent="0.35">
      <c r="A8" s="4" t="s">
        <v>44</v>
      </c>
      <c r="B8" s="8">
        <f>raw_financials!B14/raw_financials!B4</f>
        <v>0.16036362043723068</v>
      </c>
      <c r="C8" s="8">
        <f>raw_financials!C14/raw_financials!C4</f>
        <v>0.22336962115246067</v>
      </c>
      <c r="D8" s="8">
        <f>raw_financials!D14/raw_financials!D4</f>
        <v>0.24303813935832022</v>
      </c>
    </row>
    <row r="9" spans="1:4" ht="43.5" x14ac:dyDescent="0.35">
      <c r="A9" s="4" t="s">
        <v>16</v>
      </c>
      <c r="B9" s="10">
        <f>raw_financials!B20</f>
        <v>6925.7490000000007</v>
      </c>
      <c r="C9" s="10">
        <f>raw_financials!C20</f>
        <v>6921.8259999999991</v>
      </c>
      <c r="D9" s="10">
        <f>raw_financials!D20</f>
        <v>9461.0529999999999</v>
      </c>
    </row>
    <row r="10" spans="1:4" ht="29" x14ac:dyDescent="0.35">
      <c r="A10" s="4" t="s">
        <v>45</v>
      </c>
      <c r="B10" s="8">
        <f>B9/raw_financials!B4</f>
        <v>0.20536986641608621</v>
      </c>
      <c r="C10" s="8">
        <f>C9/raw_financials!C4</f>
        <v>0.17747832194720509</v>
      </c>
      <c r="D10" s="8">
        <f>D9/raw_financials!D4</f>
        <v>0.20939391943471883</v>
      </c>
    </row>
    <row r="13" spans="1:4" ht="29" x14ac:dyDescent="0.35">
      <c r="A13" s="1" t="s">
        <v>46</v>
      </c>
      <c r="B13" s="3">
        <v>2023</v>
      </c>
      <c r="C13" s="3">
        <v>2024</v>
      </c>
      <c r="D13" s="3">
        <v>2025</v>
      </c>
    </row>
    <row r="14" spans="1:4" x14ac:dyDescent="0.35">
      <c r="A14" s="4" t="s">
        <v>47</v>
      </c>
      <c r="B14" s="8">
        <f>raw_financials!B5/raw_financials!B4</f>
        <v>0.58462160446530476</v>
      </c>
      <c r="C14" s="8">
        <f>raw_financials!C5/raw_financials!C4</f>
        <v>0.53943443349582676</v>
      </c>
      <c r="D14" s="8">
        <f>raw_financials!D5/raw_financials!D4</f>
        <v>0.51513424197524049</v>
      </c>
    </row>
    <row r="15" spans="1:4" x14ac:dyDescent="0.35">
      <c r="A15" s="4" t="s">
        <v>48</v>
      </c>
      <c r="B15" s="8">
        <f>raw_financials!B6/raw_financials!B4</f>
        <v>7.8814446879259759E-2</v>
      </c>
      <c r="C15" s="8">
        <f>raw_financials!C6/raw_financials!C4</f>
        <v>7.4807224005682321E-2</v>
      </c>
      <c r="D15" s="8">
        <f>raw_financials!D6/raw_financials!D4</f>
        <v>7.3065165430671819E-2</v>
      </c>
    </row>
    <row r="16" spans="1:4" ht="29" x14ac:dyDescent="0.35">
      <c r="A16" s="4" t="s">
        <v>49</v>
      </c>
      <c r="B16" s="8">
        <f>raw_financials!B7/raw_financials!B4</f>
        <v>7.9344495883661673E-2</v>
      </c>
      <c r="C16" s="8">
        <f>raw_financials!C7/raw_financials!C4</f>
        <v>7.5005706268916519E-2</v>
      </c>
      <c r="D16" s="8">
        <f>raw_financials!D7/raw_financials!D4</f>
        <v>7.5058922556686974E-2</v>
      </c>
    </row>
    <row r="17" spans="1:4" x14ac:dyDescent="0.35">
      <c r="A17" s="4" t="s">
        <v>50</v>
      </c>
      <c r="B17" s="8">
        <f>raw_financials!B8/raw_financials!B4</f>
        <v>5.1011767918184278E-2</v>
      </c>
      <c r="C17" s="8">
        <f>raw_financials!C8/raw_financials!C4</f>
        <v>4.3640944688395668E-2</v>
      </c>
      <c r="D17" s="8">
        <f>raw_financials!D8/raw_financials!D4</f>
        <v>4.1794623982328236E-2</v>
      </c>
    </row>
    <row r="18" spans="1:4" ht="29" x14ac:dyDescent="0.35">
      <c r="A18" s="4" t="s">
        <v>51</v>
      </c>
      <c r="B18" s="8">
        <f>SUM(B14:B17)</f>
        <v>0.79379231514641047</v>
      </c>
      <c r="C18" s="8">
        <f t="shared" ref="C18:D18" si="0">SUM(C14:C17)</f>
        <v>0.73288830845882125</v>
      </c>
      <c r="D18" s="8">
        <f t="shared" si="0"/>
        <v>0.70505295394492751</v>
      </c>
    </row>
    <row r="21" spans="1:4" x14ac:dyDescent="0.35">
      <c r="A21" s="6" t="s">
        <v>52</v>
      </c>
      <c r="B21">
        <v>2023</v>
      </c>
      <c r="C21">
        <v>2024</v>
      </c>
      <c r="D21">
        <v>2025</v>
      </c>
    </row>
    <row r="22" spans="1:4" x14ac:dyDescent="0.35">
      <c r="A22" t="s">
        <v>53</v>
      </c>
      <c r="C22" s="12">
        <f>raw_financials!B25+raw_financials!B26</f>
        <v>9583.7389999999996</v>
      </c>
      <c r="D22" s="12">
        <f>raw_financials!C25+raw_financials!C26</f>
        <v>9062.3590000000004</v>
      </c>
    </row>
    <row r="23" spans="1:4" x14ac:dyDescent="0.35">
      <c r="A23" t="s">
        <v>54</v>
      </c>
      <c r="C23" s="12">
        <f>raw_financials!B37+raw_financials!B40</f>
        <v>15582.804</v>
      </c>
      <c r="D23" s="12">
        <f>raw_financials!C37+raw_financials!C40</f>
        <v>14462.835999999999</v>
      </c>
    </row>
    <row r="24" spans="1:4" x14ac:dyDescent="0.35">
      <c r="A24" t="s">
        <v>55</v>
      </c>
      <c r="C24" s="12">
        <f>C23-C22</f>
        <v>5999.0650000000005</v>
      </c>
      <c r="D24" s="12">
        <f>D23-D22</f>
        <v>5400.476999999999</v>
      </c>
    </row>
    <row r="25" spans="1:4" x14ac:dyDescent="0.35">
      <c r="A25" t="s">
        <v>56</v>
      </c>
      <c r="C25" s="13">
        <f>raw_financials!B28/raw_financials!B38</f>
        <v>1.2180280603231866</v>
      </c>
      <c r="D25" s="13">
        <f>raw_financials!C28/raw_financials!C38</f>
        <v>1.1857093160597509</v>
      </c>
    </row>
    <row r="26" spans="1:4" x14ac:dyDescent="0.35">
      <c r="A26" t="s">
        <v>57</v>
      </c>
      <c r="C26" s="14">
        <f>C23/raw_financials!B32</f>
        <v>0.29055930133920005</v>
      </c>
      <c r="D26" s="14">
        <f>D23/raw_financials!C32</f>
        <v>0.26013701856141752</v>
      </c>
    </row>
    <row r="27" spans="1:4" x14ac:dyDescent="0.35">
      <c r="A27" t="s">
        <v>58</v>
      </c>
      <c r="C27" s="14">
        <f>raw_financials!B29/raw_financials!B32</f>
        <v>0.60511347543464822</v>
      </c>
      <c r="D27" s="14">
        <f>raw_financials!C29/raw_financials!C32</f>
        <v>0.58957131008865893</v>
      </c>
    </row>
    <row r="30" spans="1:4" x14ac:dyDescent="0.35">
      <c r="A30" s="1" t="s">
        <v>64</v>
      </c>
      <c r="B30" s="3">
        <v>2023</v>
      </c>
      <c r="C30" s="3">
        <v>2024</v>
      </c>
      <c r="D30" s="3">
        <v>2025</v>
      </c>
    </row>
    <row r="31" spans="1:4" x14ac:dyDescent="0.35">
      <c r="A31" s="4" t="s">
        <v>59</v>
      </c>
      <c r="B31" s="11">
        <f>raw_financials!B18</f>
        <v>7274.3010000000004</v>
      </c>
      <c r="C31" s="11">
        <f>raw_financials!C18</f>
        <v>7361.3639999999996</v>
      </c>
      <c r="D31" s="11">
        <f>raw_financials!D18</f>
        <v>10149.272999999999</v>
      </c>
    </row>
    <row r="32" spans="1:4" x14ac:dyDescent="0.35">
      <c r="A32" s="4" t="s">
        <v>60</v>
      </c>
      <c r="B32" s="2"/>
      <c r="C32" s="8">
        <f>C31/B31-1</f>
        <v>1.1968572650485454E-2</v>
      </c>
      <c r="D32" s="8">
        <f>D31/C31-1</f>
        <v>0.37872179666703065</v>
      </c>
    </row>
    <row r="33" spans="1:4" x14ac:dyDescent="0.35">
      <c r="A33" s="4" t="s">
        <v>61</v>
      </c>
      <c r="B33" s="11">
        <f>-raw_financials!B19</f>
        <v>348.55200000000002</v>
      </c>
      <c r="C33" s="11">
        <f>-raw_financials!C19</f>
        <v>439.53800000000001</v>
      </c>
      <c r="D33" s="11">
        <f>-raw_financials!D19</f>
        <v>688.22</v>
      </c>
    </row>
    <row r="34" spans="1:4" x14ac:dyDescent="0.35">
      <c r="A34" s="4" t="s">
        <v>16</v>
      </c>
      <c r="B34" s="11">
        <f>raw_financials!B20</f>
        <v>6925.7490000000007</v>
      </c>
      <c r="C34" s="11">
        <f>raw_financials!C20</f>
        <v>6921.8259999999991</v>
      </c>
      <c r="D34" s="11">
        <f>raw_financials!D20</f>
        <v>9461.0529999999999</v>
      </c>
    </row>
    <row r="35" spans="1:4" x14ac:dyDescent="0.35">
      <c r="A35" s="4" t="s">
        <v>62</v>
      </c>
      <c r="B35" s="2"/>
      <c r="C35" s="8">
        <f>C34/B34-1</f>
        <v>-5.6643692978208815E-4</v>
      </c>
      <c r="D35" s="8">
        <f>D34/C34-1</f>
        <v>0.36684351788097547</v>
      </c>
    </row>
    <row r="36" spans="1:4" x14ac:dyDescent="0.35">
      <c r="A36" s="4" t="s">
        <v>63</v>
      </c>
      <c r="B36" s="14">
        <f>B34/raw_financials!B14</f>
        <v>1.2806512216183834</v>
      </c>
      <c r="C36" s="14">
        <f>C34/raw_financials!C14</f>
        <v>0.79454995281595375</v>
      </c>
      <c r="D36" s="14">
        <f>D34/raw_financials!D14</f>
        <v>0.86156814723635422</v>
      </c>
    </row>
    <row r="37" spans="1:4" x14ac:dyDescent="0.35">
      <c r="A37" s="4" t="s">
        <v>65</v>
      </c>
      <c r="B37" s="11">
        <v>12554.7</v>
      </c>
      <c r="C37" s="11">
        <v>16223.62</v>
      </c>
      <c r="D37" s="11">
        <v>17096.62</v>
      </c>
    </row>
    <row r="38" spans="1:4" x14ac:dyDescent="0.35">
      <c r="A38" s="4" t="s">
        <v>66</v>
      </c>
      <c r="B38" s="11">
        <v>14197.44</v>
      </c>
      <c r="C38" s="11">
        <v>15301.52</v>
      </c>
      <c r="D38" s="11">
        <v>16422.169999999998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2F679-4743-4AAB-A86B-355698AD8E3D}">
  <dimension ref="A1:D23"/>
  <sheetViews>
    <sheetView workbookViewId="0">
      <selection activeCell="B20" sqref="B20"/>
    </sheetView>
  </sheetViews>
  <sheetFormatPr defaultRowHeight="14.5" x14ac:dyDescent="0.35"/>
  <cols>
    <col min="1" max="1" width="8.453125" customWidth="1"/>
    <col min="2" max="2" width="22.54296875" bestFit="1" customWidth="1"/>
    <col min="3" max="3" width="17.81640625" bestFit="1" customWidth="1"/>
    <col min="4" max="4" width="10.26953125" bestFit="1" customWidth="1"/>
  </cols>
  <sheetData>
    <row r="1" spans="1:4" ht="58" x14ac:dyDescent="0.35">
      <c r="A1" s="1" t="s">
        <v>67</v>
      </c>
      <c r="B1" s="3"/>
      <c r="C1" s="3"/>
      <c r="D1" s="3"/>
    </row>
    <row r="2" spans="1:4" ht="58" x14ac:dyDescent="0.35">
      <c r="A2" s="1" t="s">
        <v>68</v>
      </c>
      <c r="B2" s="3">
        <v>2023</v>
      </c>
      <c r="C2" s="3">
        <v>2024</v>
      </c>
      <c r="D2" s="3">
        <v>2025</v>
      </c>
    </row>
    <row r="3" spans="1:4" x14ac:dyDescent="0.35">
      <c r="A3" s="4" t="s">
        <v>69</v>
      </c>
      <c r="B3" s="11">
        <v>14873.78</v>
      </c>
      <c r="C3" s="11">
        <v>17359.37</v>
      </c>
      <c r="D3" s="11">
        <v>19957.150000000001</v>
      </c>
    </row>
    <row r="4" spans="1:4" x14ac:dyDescent="0.35">
      <c r="A4" s="4" t="s">
        <v>70</v>
      </c>
      <c r="B4" s="11">
        <v>10556.49</v>
      </c>
      <c r="C4" s="11">
        <v>12387.04</v>
      </c>
      <c r="D4" s="11">
        <v>14514.65</v>
      </c>
    </row>
    <row r="5" spans="1:4" x14ac:dyDescent="0.35">
      <c r="A5" s="4" t="s">
        <v>71</v>
      </c>
      <c r="B5" s="11">
        <v>4446.46</v>
      </c>
      <c r="C5" s="11">
        <v>4839.82</v>
      </c>
      <c r="D5" s="11">
        <v>5357.52</v>
      </c>
    </row>
    <row r="6" spans="1:4" x14ac:dyDescent="0.35">
      <c r="A6" s="4" t="s">
        <v>72</v>
      </c>
      <c r="B6" s="11">
        <v>3763.73</v>
      </c>
      <c r="C6" s="11">
        <v>4414.75</v>
      </c>
      <c r="D6" s="11">
        <v>5353.72</v>
      </c>
    </row>
    <row r="7" spans="1:4" ht="58" x14ac:dyDescent="0.35">
      <c r="A7" s="5" t="s">
        <v>73</v>
      </c>
      <c r="B7" s="22">
        <v>33640.46</v>
      </c>
      <c r="C7" s="22">
        <v>39000.97</v>
      </c>
      <c r="D7" s="22">
        <v>45183.040000000001</v>
      </c>
    </row>
    <row r="10" spans="1:4" ht="43.5" x14ac:dyDescent="0.35">
      <c r="A10" s="1" t="s">
        <v>74</v>
      </c>
      <c r="B10" s="3">
        <v>2023</v>
      </c>
      <c r="C10" s="3">
        <v>2024</v>
      </c>
      <c r="D10" s="3">
        <v>2025</v>
      </c>
    </row>
    <row r="11" spans="1:4" ht="29" x14ac:dyDescent="0.35">
      <c r="A11" s="4" t="s">
        <v>75</v>
      </c>
      <c r="B11" s="2"/>
      <c r="C11" s="8">
        <f>C3/B3-1</f>
        <v>0.1671121934034252</v>
      </c>
      <c r="D11" s="8">
        <f>D3/C3-1</f>
        <v>0.14964713581195643</v>
      </c>
    </row>
    <row r="12" spans="1:4" ht="29" x14ac:dyDescent="0.35">
      <c r="A12" s="4" t="s">
        <v>76</v>
      </c>
      <c r="B12" s="2"/>
      <c r="C12" s="8">
        <f t="shared" ref="C12:D15" si="0">C4/B4-1</f>
        <v>0.17340517539447298</v>
      </c>
      <c r="D12" s="8">
        <f t="shared" si="0"/>
        <v>0.17176096952944353</v>
      </c>
    </row>
    <row r="13" spans="1:4" ht="29" x14ac:dyDescent="0.35">
      <c r="A13" s="4" t="s">
        <v>77</v>
      </c>
      <c r="B13" s="2"/>
      <c r="C13" s="8">
        <f t="shared" si="0"/>
        <v>8.8465880723092027E-2</v>
      </c>
      <c r="D13" s="8">
        <f t="shared" si="0"/>
        <v>0.10696678802104231</v>
      </c>
    </row>
    <row r="14" spans="1:4" ht="29" x14ac:dyDescent="0.35">
      <c r="A14" s="4" t="s">
        <v>78</v>
      </c>
      <c r="B14" s="2"/>
      <c r="C14" s="8">
        <f t="shared" si="0"/>
        <v>0.17297202509212939</v>
      </c>
      <c r="D14" s="8">
        <f t="shared" si="0"/>
        <v>0.21268928025369505</v>
      </c>
    </row>
    <row r="15" spans="1:4" ht="72.5" x14ac:dyDescent="0.35">
      <c r="A15" s="4" t="s">
        <v>79</v>
      </c>
      <c r="B15" s="2"/>
      <c r="C15" s="8">
        <f t="shared" si="0"/>
        <v>0.15934710761981274</v>
      </c>
      <c r="D15" s="8">
        <f t="shared" si="0"/>
        <v>0.15851067293967303</v>
      </c>
    </row>
    <row r="18" spans="1:3" ht="29" x14ac:dyDescent="0.35">
      <c r="A18" s="1" t="s">
        <v>80</v>
      </c>
      <c r="B18" s="1" t="s">
        <v>81</v>
      </c>
      <c r="C18" s="1" t="s">
        <v>82</v>
      </c>
    </row>
    <row r="19" spans="1:3" ht="87" x14ac:dyDescent="0.35">
      <c r="A19" s="4" t="s">
        <v>83</v>
      </c>
      <c r="B19" s="4" t="s">
        <v>84</v>
      </c>
      <c r="C19" s="4" t="s">
        <v>85</v>
      </c>
    </row>
    <row r="20" spans="1:3" ht="101.5" x14ac:dyDescent="0.35">
      <c r="A20" s="4" t="s">
        <v>86</v>
      </c>
      <c r="B20" s="4" t="s">
        <v>87</v>
      </c>
      <c r="C20" s="4" t="s">
        <v>88</v>
      </c>
    </row>
    <row r="21" spans="1:3" ht="101.5" x14ac:dyDescent="0.35">
      <c r="A21" s="4" t="s">
        <v>89</v>
      </c>
      <c r="B21" s="4" t="s">
        <v>90</v>
      </c>
      <c r="C21" s="4" t="s">
        <v>91</v>
      </c>
    </row>
    <row r="22" spans="1:3" ht="116" x14ac:dyDescent="0.35">
      <c r="A22" s="4" t="s">
        <v>92</v>
      </c>
      <c r="B22" s="4" t="s">
        <v>93</v>
      </c>
      <c r="C22" s="4" t="s">
        <v>94</v>
      </c>
    </row>
    <row r="23" spans="1:3" ht="72.5" x14ac:dyDescent="0.35">
      <c r="A23" s="4" t="s">
        <v>95</v>
      </c>
      <c r="B23" s="4" t="s">
        <v>96</v>
      </c>
      <c r="C23" s="4" t="s">
        <v>97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B7804-90EF-4505-8F1D-44C8EEE6E46D}">
  <dimension ref="A1:F17"/>
  <sheetViews>
    <sheetView workbookViewId="0">
      <selection activeCell="B16" sqref="B16"/>
    </sheetView>
  </sheetViews>
  <sheetFormatPr defaultRowHeight="14.5" x14ac:dyDescent="0.35"/>
  <cols>
    <col min="1" max="1" width="11.6328125" bestFit="1" customWidth="1"/>
    <col min="2" max="4" width="7.7265625" bestFit="1" customWidth="1"/>
  </cols>
  <sheetData>
    <row r="1" spans="1:6" ht="58" x14ac:dyDescent="0.35">
      <c r="A1" s="1" t="s">
        <v>98</v>
      </c>
      <c r="B1" s="3" t="s">
        <v>99</v>
      </c>
      <c r="C1" s="3" t="s">
        <v>100</v>
      </c>
      <c r="D1" s="3" t="s">
        <v>101</v>
      </c>
      <c r="E1" s="3"/>
    </row>
    <row r="2" spans="1:6" ht="29" x14ac:dyDescent="0.35">
      <c r="A2" s="4" t="s">
        <v>41</v>
      </c>
      <c r="B2" s="23">
        <v>0.13300000000000001</v>
      </c>
      <c r="C2" s="23">
        <v>0.115</v>
      </c>
      <c r="D2" s="23">
        <v>0.1</v>
      </c>
      <c r="F2" s="6"/>
    </row>
    <row r="3" spans="1:6" ht="43.5" x14ac:dyDescent="0.35">
      <c r="A3" s="4" t="s">
        <v>102</v>
      </c>
      <c r="B3" s="23">
        <v>0.495</v>
      </c>
      <c r="C3" s="23">
        <v>0.48499999999999999</v>
      </c>
      <c r="D3" s="23">
        <v>0.47499999999999998</v>
      </c>
    </row>
    <row r="4" spans="1:6" ht="43.5" x14ac:dyDescent="0.35">
      <c r="A4" s="4" t="s">
        <v>103</v>
      </c>
      <c r="B4" s="23">
        <v>7.2999999999999995E-2</v>
      </c>
      <c r="C4" s="23">
        <v>7.1999999999999995E-2</v>
      </c>
      <c r="D4" s="23">
        <v>7.0999999999999994E-2</v>
      </c>
    </row>
    <row r="5" spans="1:6" ht="43.5" x14ac:dyDescent="0.35">
      <c r="A5" s="4" t="s">
        <v>104</v>
      </c>
      <c r="B5" s="23">
        <v>7.4999999999999997E-2</v>
      </c>
      <c r="C5" s="23">
        <v>7.4999999999999997E-2</v>
      </c>
      <c r="D5" s="23">
        <v>7.4999999999999997E-2</v>
      </c>
    </row>
    <row r="6" spans="1:6" ht="29" x14ac:dyDescent="0.35">
      <c r="A6" s="4" t="s">
        <v>105</v>
      </c>
      <c r="B6" s="23">
        <v>4.2000000000000003E-2</v>
      </c>
      <c r="C6" s="23">
        <v>4.1000000000000002E-2</v>
      </c>
      <c r="D6" s="23">
        <v>0.04</v>
      </c>
    </row>
    <row r="7" spans="1:6" ht="29" x14ac:dyDescent="0.35">
      <c r="A7" s="4" t="s">
        <v>117</v>
      </c>
      <c r="B7" s="10">
        <v>800</v>
      </c>
      <c r="C7" s="10">
        <v>800</v>
      </c>
      <c r="D7" s="10">
        <v>800</v>
      </c>
    </row>
    <row r="8" spans="1:6" x14ac:dyDescent="0.35">
      <c r="A8" s="4" t="s">
        <v>106</v>
      </c>
      <c r="B8" s="8">
        <v>0.13</v>
      </c>
      <c r="C8" s="8">
        <v>0.13</v>
      </c>
      <c r="D8" s="8">
        <v>0.13</v>
      </c>
    </row>
    <row r="9" spans="1:6" ht="29" x14ac:dyDescent="0.35">
      <c r="A9" s="4" t="s">
        <v>107</v>
      </c>
      <c r="B9" s="8">
        <v>1.4999999999999999E-2</v>
      </c>
      <c r="C9" s="8">
        <v>1.4999999999999999E-2</v>
      </c>
      <c r="D9" s="8">
        <v>1.4999999999999999E-2</v>
      </c>
    </row>
    <row r="10" spans="1:6" x14ac:dyDescent="0.35">
      <c r="A10" s="4" t="s">
        <v>45</v>
      </c>
      <c r="B10" s="8">
        <v>0.24399999999999999</v>
      </c>
      <c r="C10" s="8">
        <v>0.25</v>
      </c>
      <c r="D10" s="8">
        <v>0.255</v>
      </c>
    </row>
    <row r="11" spans="1:6" s="26" customFormat="1" ht="43.5" x14ac:dyDescent="0.35">
      <c r="A11" s="24" t="s">
        <v>113</v>
      </c>
      <c r="B11" s="25">
        <v>0</v>
      </c>
      <c r="C11" s="25">
        <v>0</v>
      </c>
      <c r="D11" s="25">
        <v>0</v>
      </c>
    </row>
    <row r="14" spans="1:6" ht="43.5" x14ac:dyDescent="0.35">
      <c r="A14" s="1" t="s">
        <v>108</v>
      </c>
      <c r="B14" s="3" t="s">
        <v>99</v>
      </c>
    </row>
    <row r="15" spans="1:6" ht="43.5" x14ac:dyDescent="0.35">
      <c r="A15" s="4" t="s">
        <v>109</v>
      </c>
      <c r="B15" s="11">
        <v>51.2</v>
      </c>
    </row>
    <row r="16" spans="1:6" ht="43.5" x14ac:dyDescent="0.35">
      <c r="A16" s="4" t="s">
        <v>110</v>
      </c>
      <c r="B16" s="9">
        <v>0.315</v>
      </c>
    </row>
    <row r="17" spans="1:2" ht="58" x14ac:dyDescent="0.35">
      <c r="A17" s="15" t="s">
        <v>112</v>
      </c>
      <c r="B17" s="10">
        <v>12.5</v>
      </c>
    </row>
  </sheetData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6A961-55A5-4F03-ADCC-144C5DC0EDC2}">
  <dimension ref="A1:H24"/>
  <sheetViews>
    <sheetView workbookViewId="0">
      <selection activeCell="A2" sqref="A2"/>
    </sheetView>
  </sheetViews>
  <sheetFormatPr defaultRowHeight="14.5" x14ac:dyDescent="0.35"/>
  <cols>
    <col min="2" max="4" width="10.26953125" bestFit="1" customWidth="1"/>
    <col min="5" max="7" width="14.81640625" bestFit="1" customWidth="1"/>
  </cols>
  <sheetData>
    <row r="1" spans="1:7" ht="72.5" x14ac:dyDescent="0.35">
      <c r="A1" s="1" t="s">
        <v>114</v>
      </c>
      <c r="B1" s="3" t="s">
        <v>115</v>
      </c>
      <c r="C1" s="3" t="s">
        <v>116</v>
      </c>
      <c r="D1" s="3" t="s">
        <v>111</v>
      </c>
      <c r="E1" s="3" t="s">
        <v>99</v>
      </c>
      <c r="F1" s="3" t="s">
        <v>100</v>
      </c>
      <c r="G1" s="3" t="s">
        <v>101</v>
      </c>
    </row>
    <row r="2" spans="1:7" x14ac:dyDescent="0.35">
      <c r="A2" s="5" t="s">
        <v>1</v>
      </c>
      <c r="B2" s="11">
        <f>raw_financials!B4</f>
        <v>33723.296999999999</v>
      </c>
      <c r="C2" s="11">
        <f>raw_financials!C4</f>
        <v>39000.966</v>
      </c>
      <c r="D2" s="11">
        <f>raw_financials!D4</f>
        <v>45183.036</v>
      </c>
      <c r="E2" s="11">
        <f>D2*(1+forecast_assumptions!B2)</f>
        <v>51192.379787999998</v>
      </c>
      <c r="F2" s="11">
        <f>E2*(1+forecast_assumptions!C2)</f>
        <v>57079.50346362</v>
      </c>
      <c r="G2" s="11">
        <f>F2*(1+forecast_assumptions!D2)</f>
        <v>62787.453809982006</v>
      </c>
    </row>
    <row r="3" spans="1:7" ht="29" x14ac:dyDescent="0.35">
      <c r="A3" s="4" t="s">
        <v>41</v>
      </c>
      <c r="B3" s="2"/>
      <c r="C3" s="8">
        <f>historical_analysis!C4</f>
        <v>0.15649919994477424</v>
      </c>
      <c r="D3" s="8">
        <f>historical_analysis!D4</f>
        <v>0.15851068919677536</v>
      </c>
      <c r="E3" s="8">
        <f>forecast_assumptions!B2</f>
        <v>0.13300000000000001</v>
      </c>
      <c r="F3" s="8">
        <f>forecast_assumptions!C2</f>
        <v>0.115</v>
      </c>
      <c r="G3" s="8">
        <f>forecast_assumptions!D2</f>
        <v>0.1</v>
      </c>
    </row>
    <row r="4" spans="1:7" ht="29" x14ac:dyDescent="0.35">
      <c r="A4" s="4" t="s">
        <v>2</v>
      </c>
      <c r="B4" s="11">
        <f>raw_financials!B5</f>
        <v>19715.367999999999</v>
      </c>
      <c r="C4" s="11">
        <f>raw_financials!C5</f>
        <v>21038.464</v>
      </c>
      <c r="D4" s="11">
        <f>raw_financials!D5</f>
        <v>23275.329000000002</v>
      </c>
      <c r="E4" s="11">
        <f>E2*forecast_assumptions!B3</f>
        <v>25340.227995059999</v>
      </c>
      <c r="F4" s="11">
        <f>F2*forecast_assumptions!C3</f>
        <v>27683.5591798557</v>
      </c>
      <c r="G4" s="11">
        <f>G2*forecast_assumptions!D3</f>
        <v>29824.04055974145</v>
      </c>
    </row>
    <row r="5" spans="1:7" ht="29" x14ac:dyDescent="0.35">
      <c r="A5" s="5" t="s">
        <v>3</v>
      </c>
      <c r="B5" s="11">
        <f>historical_analysis!B5</f>
        <v>14007.929</v>
      </c>
      <c r="C5" s="11">
        <f>historical_analysis!C5</f>
        <v>17962.502</v>
      </c>
      <c r="D5" s="11">
        <f>historical_analysis!D5</f>
        <v>21907.706999999999</v>
      </c>
      <c r="E5" s="11">
        <f>E2-E4</f>
        <v>25852.15179294</v>
      </c>
      <c r="F5" s="11">
        <f t="shared" ref="F5:G5" si="0">F2-F4</f>
        <v>29395.9442837643</v>
      </c>
      <c r="G5" s="11">
        <f t="shared" si="0"/>
        <v>32963.413250240555</v>
      </c>
    </row>
    <row r="6" spans="1:7" ht="29" x14ac:dyDescent="0.35">
      <c r="A6" s="4" t="s">
        <v>42</v>
      </c>
      <c r="B6" s="8">
        <f>historical_analysis!B6</f>
        <v>0.41537839553469524</v>
      </c>
      <c r="C6" s="8">
        <f>historical_analysis!C6</f>
        <v>0.46056556650417324</v>
      </c>
      <c r="D6" s="8">
        <f>historical_analysis!D6</f>
        <v>0.48486575802475951</v>
      </c>
      <c r="E6" s="8">
        <f>E5/E2</f>
        <v>0.505</v>
      </c>
      <c r="F6" s="8">
        <f t="shared" ref="F6:G6" si="1">F5/F2</f>
        <v>0.51500000000000001</v>
      </c>
      <c r="G6" s="8">
        <f t="shared" si="1"/>
        <v>0.52500000000000002</v>
      </c>
    </row>
    <row r="7" spans="1:7" ht="43.5" x14ac:dyDescent="0.35">
      <c r="A7" s="4" t="s">
        <v>10</v>
      </c>
      <c r="B7" s="11">
        <f>raw_financials!B6</f>
        <v>2657.8829999999998</v>
      </c>
      <c r="C7" s="11">
        <f>raw_financials!C6</f>
        <v>2917.5540000000001</v>
      </c>
      <c r="D7" s="11">
        <f>raw_financials!D6</f>
        <v>3301.306</v>
      </c>
      <c r="E7" s="11">
        <f>E$2*forecast_assumptions!B4</f>
        <v>3737.0437245239996</v>
      </c>
      <c r="F7" s="11">
        <f>F$2*forecast_assumptions!C4</f>
        <v>4109.7242493806398</v>
      </c>
      <c r="G7" s="11">
        <f>G$2*forecast_assumptions!D4</f>
        <v>4457.9092205087218</v>
      </c>
    </row>
    <row r="8" spans="1:7" ht="58" x14ac:dyDescent="0.35">
      <c r="A8" s="4" t="s">
        <v>4</v>
      </c>
      <c r="B8" s="11">
        <f>raw_financials!B7</f>
        <v>2675.7579999999998</v>
      </c>
      <c r="C8" s="11">
        <f>raw_financials!C7</f>
        <v>2925.2950000000001</v>
      </c>
      <c r="D8" s="11">
        <f>raw_financials!D7</f>
        <v>3391.39</v>
      </c>
      <c r="E8" s="11">
        <f>E$2*forecast_assumptions!B5</f>
        <v>3839.4284840999999</v>
      </c>
      <c r="F8" s="11">
        <f>F$2*forecast_assumptions!C5</f>
        <v>4280.9627597714998</v>
      </c>
      <c r="G8" s="11">
        <f>G$2*forecast_assumptions!D5</f>
        <v>4709.0590357486499</v>
      </c>
    </row>
    <row r="9" spans="1:7" ht="43.5" x14ac:dyDescent="0.35">
      <c r="A9" s="4" t="s">
        <v>5</v>
      </c>
      <c r="B9" s="11">
        <f>raw_financials!B8</f>
        <v>1720.2850000000001</v>
      </c>
      <c r="C9" s="11">
        <f>raw_financials!C8</f>
        <v>1702.039</v>
      </c>
      <c r="D9" s="11">
        <f>raw_financials!D8</f>
        <v>1888.4079999999999</v>
      </c>
      <c r="E9" s="11">
        <f>E$2*forecast_assumptions!B6</f>
        <v>2150.0799510960001</v>
      </c>
      <c r="F9" s="11">
        <f>F$2*forecast_assumptions!C6</f>
        <v>2340.2596420084201</v>
      </c>
      <c r="G9" s="11">
        <f>G$2*forecast_assumptions!D6</f>
        <v>2511.4981523992801</v>
      </c>
    </row>
    <row r="10" spans="1:7" ht="29" x14ac:dyDescent="0.35">
      <c r="A10" s="5" t="s">
        <v>6</v>
      </c>
      <c r="B10" s="11">
        <f>raw_financials!B9</f>
        <v>6954.0029999999997</v>
      </c>
      <c r="C10" s="11">
        <f>raw_financials!C9</f>
        <v>10417.614</v>
      </c>
      <c r="D10" s="11">
        <f>raw_financials!D9</f>
        <v>13326.602999999999</v>
      </c>
      <c r="E10" s="11">
        <f>E5-E7-E8-E9</f>
        <v>16125.599633219999</v>
      </c>
      <c r="F10" s="11">
        <f t="shared" ref="F10:G10" si="2">F5-F7-F8-F9</f>
        <v>18664.997632603739</v>
      </c>
      <c r="G10" s="11">
        <f t="shared" si="2"/>
        <v>21284.946841583904</v>
      </c>
    </row>
    <row r="11" spans="1:7" ht="29" x14ac:dyDescent="0.35">
      <c r="A11" s="4" t="s">
        <v>43</v>
      </c>
      <c r="B11" s="8">
        <f>historical_analysis!B7</f>
        <v>0.20620768485358948</v>
      </c>
      <c r="C11" s="8">
        <f>historical_analysis!C7</f>
        <v>0.26711169154117875</v>
      </c>
      <c r="D11" s="8">
        <f>historical_analysis!D7</f>
        <v>0.29494704605507249</v>
      </c>
      <c r="E11" s="8">
        <f>E10/E2</f>
        <v>0.315</v>
      </c>
      <c r="F11" s="8">
        <f t="shared" ref="F11:G11" si="3">F10/F2</f>
        <v>0.32700000000000001</v>
      </c>
      <c r="G11" s="8">
        <f t="shared" si="3"/>
        <v>0.33900000000000008</v>
      </c>
    </row>
    <row r="12" spans="1:7" ht="29" x14ac:dyDescent="0.35">
      <c r="A12" s="4" t="s">
        <v>11</v>
      </c>
      <c r="B12" s="11">
        <f>raw_financials!B10</f>
        <v>-699.82600000000002</v>
      </c>
      <c r="C12" s="11">
        <f>raw_financials!C10</f>
        <v>-718.73299999999995</v>
      </c>
      <c r="D12" s="11">
        <f>raw_financials!D10</f>
        <v>-776.51</v>
      </c>
      <c r="E12" s="11">
        <f>-forecast_assumptions!B7</f>
        <v>-800</v>
      </c>
      <c r="F12" s="11">
        <f>-forecast_assumptions!C7</f>
        <v>-800</v>
      </c>
      <c r="G12" s="11">
        <f>-forecast_assumptions!D7</f>
        <v>-800</v>
      </c>
    </row>
    <row r="13" spans="1:7" ht="58" x14ac:dyDescent="0.35">
      <c r="A13" s="4" t="s">
        <v>113</v>
      </c>
      <c r="B13" s="11">
        <f>raw_financials!B11</f>
        <v>-48.771999999999998</v>
      </c>
      <c r="C13" s="11">
        <f>raw_financials!C11</f>
        <v>266.77600000000001</v>
      </c>
      <c r="D13" s="11">
        <f>raw_financials!D11</f>
        <v>172.459</v>
      </c>
      <c r="E13" s="11">
        <f>forecast_assumptions!B11</f>
        <v>0</v>
      </c>
      <c r="F13" s="11">
        <f>forecast_assumptions!C11</f>
        <v>0</v>
      </c>
      <c r="G13" s="11">
        <f>forecast_assumptions!D11</f>
        <v>0</v>
      </c>
    </row>
    <row r="14" spans="1:7" ht="43.5" x14ac:dyDescent="0.35">
      <c r="A14" s="15" t="s">
        <v>7</v>
      </c>
      <c r="B14" s="11">
        <f>raw_financials!B12</f>
        <v>6205.4049999999997</v>
      </c>
      <c r="C14" s="11">
        <f>raw_financials!C12</f>
        <v>9965.6569999999992</v>
      </c>
      <c r="D14" s="11">
        <f>raw_financials!D12</f>
        <v>12722.552</v>
      </c>
      <c r="E14" s="11">
        <f>E10+E12+E13</f>
        <v>15325.599633219999</v>
      </c>
      <c r="F14" s="11">
        <f t="shared" ref="F14:G14" si="4">F10+F12+F13</f>
        <v>17864.997632603739</v>
      </c>
      <c r="G14" s="11">
        <f t="shared" si="4"/>
        <v>20484.946841583904</v>
      </c>
    </row>
    <row r="15" spans="1:7" ht="43.5" x14ac:dyDescent="0.35">
      <c r="A15" s="4" t="s">
        <v>8</v>
      </c>
      <c r="B15" s="11">
        <f>raw_financials!B13</f>
        <v>797.41499999999996</v>
      </c>
      <c r="C15" s="11">
        <f>raw_financials!C13</f>
        <v>1254.0260000000001</v>
      </c>
      <c r="D15" s="11">
        <f>raw_financials!D13</f>
        <v>1741.3510000000001</v>
      </c>
      <c r="E15" s="11">
        <f>E14*forecast_assumptions!B8</f>
        <v>1992.3279523186</v>
      </c>
      <c r="F15" s="11">
        <f>F14*forecast_assumptions!C8</f>
        <v>2322.449692238486</v>
      </c>
      <c r="G15" s="11">
        <f>G14*forecast_assumptions!D8</f>
        <v>2663.0430894059077</v>
      </c>
    </row>
    <row r="16" spans="1:7" ht="29" x14ac:dyDescent="0.35">
      <c r="A16" s="5" t="s">
        <v>9</v>
      </c>
      <c r="B16" s="11">
        <f>raw_financials!B14</f>
        <v>5407.99</v>
      </c>
      <c r="C16" s="11">
        <f>raw_financials!C14</f>
        <v>8711.6309999999994</v>
      </c>
      <c r="D16" s="11">
        <f>raw_financials!D14</f>
        <v>10981.200999999999</v>
      </c>
      <c r="E16" s="11">
        <f>E14-E15</f>
        <v>13333.2716809014</v>
      </c>
      <c r="F16" s="11">
        <f t="shared" ref="F16:G16" si="5">F14-F15</f>
        <v>15542.547940365253</v>
      </c>
      <c r="G16" s="11">
        <f t="shared" si="5"/>
        <v>17821.903752177997</v>
      </c>
    </row>
    <row r="17" spans="1:8" ht="29" x14ac:dyDescent="0.35">
      <c r="A17" s="4" t="s">
        <v>44</v>
      </c>
      <c r="B17" s="8">
        <f>historical_analysis!B8</f>
        <v>0.16036362043723068</v>
      </c>
      <c r="C17" s="8">
        <f>historical_analysis!C8</f>
        <v>0.22336962115246067</v>
      </c>
      <c r="D17" s="8">
        <f>historical_analysis!D8</f>
        <v>0.24303813935832022</v>
      </c>
      <c r="E17" s="8">
        <f>E16/E2</f>
        <v>0.26045422651022859</v>
      </c>
      <c r="F17" s="8">
        <f t="shared" ref="F17:G17" si="6">F16/F2</f>
        <v>0.27229648117509292</v>
      </c>
      <c r="G17" s="8">
        <f t="shared" si="6"/>
        <v>0.28384498288644816</v>
      </c>
    </row>
    <row r="20" spans="1:8" ht="72.5" x14ac:dyDescent="0.35">
      <c r="A20" s="1" t="s">
        <v>118</v>
      </c>
      <c r="B20" s="3" t="s">
        <v>115</v>
      </c>
      <c r="C20" s="3" t="s">
        <v>116</v>
      </c>
      <c r="D20" s="3" t="s">
        <v>111</v>
      </c>
      <c r="E20" s="3" t="s">
        <v>99</v>
      </c>
      <c r="F20" s="3" t="s">
        <v>100</v>
      </c>
      <c r="G20" s="3" t="s">
        <v>101</v>
      </c>
    </row>
    <row r="21" spans="1:8" ht="43.5" x14ac:dyDescent="0.35">
      <c r="A21" s="4" t="s">
        <v>59</v>
      </c>
      <c r="B21" s="11">
        <f>historical_analysis!B31</f>
        <v>7274.3010000000004</v>
      </c>
      <c r="C21" s="11">
        <f>historical_analysis!C31</f>
        <v>7361.3639999999996</v>
      </c>
      <c r="D21" s="11">
        <f>historical_analysis!D31</f>
        <v>10149.272999999999</v>
      </c>
      <c r="E21" s="11">
        <f>SUM(E22:E23)</f>
        <v>13267.88569682</v>
      </c>
      <c r="F21" s="11">
        <f>SUM(F22:F23)</f>
        <v>15126.0684178593</v>
      </c>
      <c r="G21" s="11">
        <f>SUM(G22:G23)</f>
        <v>16952.612528695139</v>
      </c>
    </row>
    <row r="22" spans="1:8" ht="43.5" x14ac:dyDescent="0.35">
      <c r="A22" s="4" t="s">
        <v>61</v>
      </c>
      <c r="B22" s="11">
        <f>historical_analysis!B33</f>
        <v>348.55200000000002</v>
      </c>
      <c r="C22" s="11">
        <f>historical_analysis!C33</f>
        <v>439.53800000000001</v>
      </c>
      <c r="D22" s="11">
        <f>historical_analysis!D33</f>
        <v>688.22</v>
      </c>
      <c r="E22" s="11">
        <f>E2*forecast_assumptions!C9</f>
        <v>767.88569681999991</v>
      </c>
      <c r="F22" s="11">
        <f>F2*forecast_assumptions!C9</f>
        <v>856.19255195429992</v>
      </c>
      <c r="G22" s="11">
        <f>forecast_assumptions!D9*G2</f>
        <v>941.81180714973004</v>
      </c>
      <c r="H22" s="12"/>
    </row>
    <row r="23" spans="1:8" ht="43.5" x14ac:dyDescent="0.35">
      <c r="A23" s="5" t="s">
        <v>16</v>
      </c>
      <c r="B23" s="11">
        <f>historical_analysis!B34</f>
        <v>6925.7490000000007</v>
      </c>
      <c r="C23" s="11">
        <f>historical_analysis!C34</f>
        <v>6921.8259999999991</v>
      </c>
      <c r="D23" s="11">
        <f>historical_analysis!D34</f>
        <v>9461.0529999999999</v>
      </c>
      <c r="E23" s="11">
        <f>forecast_assumptions!B17*1000</f>
        <v>12500</v>
      </c>
      <c r="F23" s="11">
        <f>F2*forecast_assumptions!C10</f>
        <v>14269.875865905</v>
      </c>
      <c r="G23" s="11">
        <f>G2*forecast_assumptions!D10</f>
        <v>16010.800721545411</v>
      </c>
    </row>
    <row r="24" spans="1:8" ht="29" x14ac:dyDescent="0.35">
      <c r="A24" s="4" t="s">
        <v>45</v>
      </c>
      <c r="B24" s="8">
        <f>historical_analysis!B10</f>
        <v>0.20536986641608621</v>
      </c>
      <c r="C24" s="8">
        <f>historical_analysis!C10</f>
        <v>0.17747832194720509</v>
      </c>
      <c r="D24" s="8">
        <f>historical_analysis!D10</f>
        <v>0.20939391943471883</v>
      </c>
      <c r="E24" s="8">
        <f>E23/E2</f>
        <v>0.24417696641112441</v>
      </c>
      <c r="F24" s="8">
        <f t="shared" ref="F24:G24" si="7">F23/F2</f>
        <v>0.25</v>
      </c>
      <c r="G24" s="8">
        <f t="shared" si="7"/>
        <v>0.255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EB0E6-DCF8-424C-A0DC-6BF91B50F66C}">
  <dimension ref="A1:D20"/>
  <sheetViews>
    <sheetView workbookViewId="0">
      <selection activeCell="B18" sqref="B18:D18"/>
    </sheetView>
  </sheetViews>
  <sheetFormatPr defaultRowHeight="14.5" x14ac:dyDescent="0.35"/>
  <cols>
    <col min="1" max="1" width="15.36328125" bestFit="1" customWidth="1"/>
    <col min="2" max="4" width="10.26953125" bestFit="1" customWidth="1"/>
  </cols>
  <sheetData>
    <row r="1" spans="1:4" ht="29" x14ac:dyDescent="0.35">
      <c r="A1" s="1" t="s">
        <v>119</v>
      </c>
      <c r="B1" s="3" t="s">
        <v>120</v>
      </c>
      <c r="C1" s="3" t="s">
        <v>121</v>
      </c>
      <c r="D1" s="3" t="s">
        <v>122</v>
      </c>
    </row>
    <row r="2" spans="1:4" ht="29" x14ac:dyDescent="0.35">
      <c r="A2" s="15" t="s">
        <v>123</v>
      </c>
      <c r="B2" s="8">
        <v>0.09</v>
      </c>
      <c r="C2" s="8">
        <f>forecast_assumptions!C2</f>
        <v>0.115</v>
      </c>
      <c r="D2" s="8">
        <v>0.14000000000000001</v>
      </c>
    </row>
    <row r="3" spans="1:4" ht="29" x14ac:dyDescent="0.35">
      <c r="A3" s="15" t="s">
        <v>124</v>
      </c>
      <c r="B3" s="8">
        <v>0.31</v>
      </c>
      <c r="C3" s="8">
        <f>forecast!F11</f>
        <v>0.32700000000000001</v>
      </c>
      <c r="D3" s="8">
        <v>0.34</v>
      </c>
    </row>
    <row r="4" spans="1:4" x14ac:dyDescent="0.35">
      <c r="A4" s="15" t="s">
        <v>125</v>
      </c>
      <c r="B4" s="8">
        <v>0.23499999999999999</v>
      </c>
      <c r="C4" s="8">
        <f>forecast_assumptions!C10</f>
        <v>0.25</v>
      </c>
      <c r="D4" s="8">
        <v>0.26500000000000001</v>
      </c>
    </row>
    <row r="5" spans="1:4" x14ac:dyDescent="0.35">
      <c r="A5" s="15"/>
      <c r="B5" s="8"/>
      <c r="C5" s="8"/>
      <c r="D5" s="8"/>
    </row>
    <row r="6" spans="1:4" ht="29" x14ac:dyDescent="0.35">
      <c r="A6" s="15" t="s">
        <v>126</v>
      </c>
      <c r="B6" s="8">
        <v>7.0000000000000007E-2</v>
      </c>
      <c r="C6" s="8">
        <f>forecast_assumptions!D2</f>
        <v>0.1</v>
      </c>
      <c r="D6" s="8">
        <v>0.13</v>
      </c>
    </row>
    <row r="7" spans="1:4" ht="29" x14ac:dyDescent="0.35">
      <c r="A7" s="15" t="s">
        <v>127</v>
      </c>
      <c r="B7" s="8">
        <v>0.30499999999999999</v>
      </c>
      <c r="C7" s="8">
        <f>forecast!G11</f>
        <v>0.33900000000000008</v>
      </c>
      <c r="D7" s="8">
        <v>0.35499999999999998</v>
      </c>
    </row>
    <row r="8" spans="1:4" x14ac:dyDescent="0.35">
      <c r="A8" s="15" t="s">
        <v>128</v>
      </c>
      <c r="B8" s="8">
        <v>0.23</v>
      </c>
      <c r="C8" s="8">
        <f>forecast_assumptions!D10</f>
        <v>0.255</v>
      </c>
      <c r="D8" s="8">
        <v>0.27500000000000002</v>
      </c>
    </row>
    <row r="11" spans="1:4" ht="43.5" x14ac:dyDescent="0.35">
      <c r="A11" s="1" t="s">
        <v>129</v>
      </c>
      <c r="B11" s="3" t="s">
        <v>120</v>
      </c>
      <c r="C11" s="3" t="s">
        <v>121</v>
      </c>
      <c r="D11" s="3" t="s">
        <v>122</v>
      </c>
    </row>
    <row r="12" spans="1:4" x14ac:dyDescent="0.35">
      <c r="A12" s="4" t="s">
        <v>1</v>
      </c>
      <c r="B12" s="11">
        <f>forecast!$E$2*(1+B2)</f>
        <v>55799.693968920001</v>
      </c>
      <c r="C12" s="11">
        <f>forecast!$E$2*(1+C2)</f>
        <v>57079.50346362</v>
      </c>
      <c r="D12" s="11">
        <f>forecast!$E$2*(1+D2)</f>
        <v>58359.312958320006</v>
      </c>
    </row>
    <row r="13" spans="1:4" x14ac:dyDescent="0.35">
      <c r="A13" s="4" t="s">
        <v>6</v>
      </c>
      <c r="B13" s="11">
        <f>B12*B3</f>
        <v>17297.905130365201</v>
      </c>
      <c r="C13" s="11">
        <f t="shared" ref="C13:D13" si="0">C12*C3</f>
        <v>18664.997632603739</v>
      </c>
      <c r="D13" s="11">
        <f t="shared" si="0"/>
        <v>19842.166405828804</v>
      </c>
    </row>
    <row r="14" spans="1:4" x14ac:dyDescent="0.35">
      <c r="A14" s="4" t="s">
        <v>16</v>
      </c>
      <c r="B14" s="11">
        <f>B12*B4</f>
        <v>13112.928082696199</v>
      </c>
      <c r="C14" s="11">
        <f t="shared" ref="C14:D14" si="1">C12*C4</f>
        <v>14269.875865905</v>
      </c>
      <c r="D14" s="11">
        <f t="shared" si="1"/>
        <v>15465.217933954802</v>
      </c>
    </row>
    <row r="17" spans="1:4" ht="43.5" x14ac:dyDescent="0.35">
      <c r="A17" s="1" t="s">
        <v>130</v>
      </c>
      <c r="B17" s="3" t="s">
        <v>120</v>
      </c>
      <c r="C17" s="3" t="s">
        <v>121</v>
      </c>
      <c r="D17" s="3" t="s">
        <v>122</v>
      </c>
    </row>
    <row r="18" spans="1:4" x14ac:dyDescent="0.35">
      <c r="A18" s="4" t="s">
        <v>1</v>
      </c>
      <c r="B18" s="11">
        <f>B12*(1+B6)</f>
        <v>59705.672546744405</v>
      </c>
      <c r="C18" s="11">
        <f t="shared" ref="C18:D18" si="2">C12*(1+C6)</f>
        <v>62787.453809982006</v>
      </c>
      <c r="D18" s="11">
        <f t="shared" si="2"/>
        <v>65946.023642901608</v>
      </c>
    </row>
    <row r="19" spans="1:4" x14ac:dyDescent="0.35">
      <c r="A19" s="4" t="s">
        <v>6</v>
      </c>
      <c r="B19" s="11">
        <f>B18*B7</f>
        <v>18210.230126757044</v>
      </c>
      <c r="C19" s="11">
        <f t="shared" ref="C19:D19" si="3">C18*C7</f>
        <v>21284.946841583904</v>
      </c>
      <c r="D19" s="11">
        <f t="shared" si="3"/>
        <v>23410.838393230071</v>
      </c>
    </row>
    <row r="20" spans="1:4" x14ac:dyDescent="0.35">
      <c r="A20" s="4" t="s">
        <v>16</v>
      </c>
      <c r="B20" s="11">
        <f>B18*B8</f>
        <v>13732.304685751214</v>
      </c>
      <c r="C20" s="11">
        <f t="shared" ref="C20:D20" si="4">C18*C8</f>
        <v>16010.800721545411</v>
      </c>
      <c r="D20" s="11">
        <f t="shared" si="4"/>
        <v>18135.156501797945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DE5A6-55D9-4A78-B9BD-45489B5D702B}">
  <dimension ref="A1:D39"/>
  <sheetViews>
    <sheetView topLeftCell="A14" workbookViewId="0">
      <selection activeCell="A32" sqref="A32"/>
    </sheetView>
  </sheetViews>
  <sheetFormatPr defaultRowHeight="14.5" x14ac:dyDescent="0.35"/>
  <cols>
    <col min="1" max="1" width="8.6328125" bestFit="1" customWidth="1"/>
    <col min="2" max="2" width="10.26953125" bestFit="1" customWidth="1"/>
    <col min="3" max="3" width="15.7265625" bestFit="1" customWidth="1"/>
    <col min="4" max="4" width="10.26953125" bestFit="1" customWidth="1"/>
  </cols>
  <sheetData>
    <row r="1" spans="1:4" x14ac:dyDescent="0.35">
      <c r="A1" s="28" t="s">
        <v>1</v>
      </c>
      <c r="B1" s="28"/>
      <c r="C1" s="28"/>
      <c r="D1" s="28"/>
    </row>
    <row r="2" spans="1:4" x14ac:dyDescent="0.35">
      <c r="A2" s="27" t="s">
        <v>133</v>
      </c>
      <c r="B2" s="27" t="s">
        <v>136</v>
      </c>
      <c r="C2" s="31" t="s">
        <v>137</v>
      </c>
      <c r="D2" s="28"/>
    </row>
    <row r="3" spans="1:4" x14ac:dyDescent="0.35">
      <c r="A3" s="29" t="s">
        <v>115</v>
      </c>
      <c r="B3" s="35">
        <f>forecast!B$2</f>
        <v>33723.296999999999</v>
      </c>
      <c r="C3" s="36"/>
      <c r="D3" s="28"/>
    </row>
    <row r="4" spans="1:4" x14ac:dyDescent="0.35">
      <c r="A4" s="29" t="s">
        <v>116</v>
      </c>
      <c r="B4" s="35">
        <f>forecast!C2</f>
        <v>39000.966</v>
      </c>
      <c r="C4" s="36"/>
      <c r="D4" s="28"/>
    </row>
    <row r="5" spans="1:4" x14ac:dyDescent="0.35">
      <c r="A5" s="29" t="s">
        <v>111</v>
      </c>
      <c r="B5" s="35">
        <f>forecast!$D2</f>
        <v>45183.036</v>
      </c>
      <c r="C5" s="35">
        <f>forecast!$D2</f>
        <v>45183.036</v>
      </c>
      <c r="D5" s="28"/>
    </row>
    <row r="6" spans="1:4" x14ac:dyDescent="0.35">
      <c r="A6" s="29" t="s">
        <v>99</v>
      </c>
      <c r="B6" s="36"/>
      <c r="C6" s="35">
        <f>forecast!E2</f>
        <v>51192.379787999998</v>
      </c>
      <c r="D6" s="28"/>
    </row>
    <row r="7" spans="1:4" x14ac:dyDescent="0.35">
      <c r="A7" s="29" t="s">
        <v>100</v>
      </c>
      <c r="B7" s="36"/>
      <c r="C7" s="35">
        <f>forecast!F2</f>
        <v>57079.50346362</v>
      </c>
      <c r="D7" s="28"/>
    </row>
    <row r="8" spans="1:4" x14ac:dyDescent="0.35">
      <c r="A8" s="29" t="s">
        <v>101</v>
      </c>
      <c r="B8" s="36"/>
      <c r="C8" s="35">
        <f>forecast!G2</f>
        <v>62787.453809982006</v>
      </c>
      <c r="D8" s="28"/>
    </row>
    <row r="9" spans="1:4" x14ac:dyDescent="0.35">
      <c r="A9" s="28"/>
      <c r="B9" s="28"/>
      <c r="C9" s="28"/>
      <c r="D9" s="28"/>
    </row>
    <row r="10" spans="1:4" x14ac:dyDescent="0.35">
      <c r="A10" s="28"/>
      <c r="B10" s="28"/>
      <c r="C10" s="28"/>
      <c r="D10" s="28"/>
    </row>
    <row r="11" spans="1:4" ht="29" x14ac:dyDescent="0.35">
      <c r="A11" s="29" t="s">
        <v>43</v>
      </c>
      <c r="D11" s="28"/>
    </row>
    <row r="12" spans="1:4" x14ac:dyDescent="0.35">
      <c r="A12" s="27" t="s">
        <v>133</v>
      </c>
      <c r="B12" s="27" t="s">
        <v>136</v>
      </c>
      <c r="C12" s="27" t="s">
        <v>137</v>
      </c>
      <c r="D12" s="28"/>
    </row>
    <row r="13" spans="1:4" x14ac:dyDescent="0.35">
      <c r="A13" s="29" t="s">
        <v>115</v>
      </c>
      <c r="B13" s="30">
        <f>forecast!B11</f>
        <v>0.20620768485358948</v>
      </c>
      <c r="C13" s="30"/>
      <c r="D13" s="28"/>
    </row>
    <row r="14" spans="1:4" x14ac:dyDescent="0.35">
      <c r="A14" s="29" t="s">
        <v>116</v>
      </c>
      <c r="B14" s="30">
        <f>forecast!C11</f>
        <v>0.26711169154117875</v>
      </c>
      <c r="C14" s="30"/>
      <c r="D14" s="28"/>
    </row>
    <row r="15" spans="1:4" x14ac:dyDescent="0.35">
      <c r="A15" s="29" t="s">
        <v>111</v>
      </c>
      <c r="B15" s="30">
        <f>forecast!$D$11</f>
        <v>0.29494704605507249</v>
      </c>
      <c r="C15" s="30">
        <f>forecast!$D$11</f>
        <v>0.29494704605507249</v>
      </c>
      <c r="D15" s="28"/>
    </row>
    <row r="16" spans="1:4" x14ac:dyDescent="0.35">
      <c r="A16" s="29" t="s">
        <v>99</v>
      </c>
      <c r="B16" s="32"/>
      <c r="C16" s="30">
        <f>forecast!E11</f>
        <v>0.315</v>
      </c>
      <c r="D16" s="28"/>
    </row>
    <row r="17" spans="1:4" x14ac:dyDescent="0.35">
      <c r="A17" s="29" t="s">
        <v>100</v>
      </c>
      <c r="B17" s="32"/>
      <c r="C17" s="30">
        <f>forecast!F11</f>
        <v>0.32700000000000001</v>
      </c>
      <c r="D17" s="28"/>
    </row>
    <row r="18" spans="1:4" x14ac:dyDescent="0.35">
      <c r="A18" s="29" t="s">
        <v>101</v>
      </c>
      <c r="B18" s="32"/>
      <c r="C18" s="30">
        <f>forecast!G11</f>
        <v>0.33900000000000008</v>
      </c>
      <c r="D18" s="28"/>
    </row>
    <row r="19" spans="1:4" x14ac:dyDescent="0.35">
      <c r="A19" s="28"/>
      <c r="B19" s="28"/>
      <c r="C19" s="28"/>
    </row>
    <row r="20" spans="1:4" x14ac:dyDescent="0.35">
      <c r="A20" s="28"/>
      <c r="B20" s="28"/>
      <c r="C20" s="28"/>
      <c r="D20" s="28"/>
    </row>
    <row r="21" spans="1:4" x14ac:dyDescent="0.35">
      <c r="A21" s="28" t="s">
        <v>138</v>
      </c>
      <c r="B21" s="28"/>
      <c r="C21" s="28"/>
      <c r="D21" s="28"/>
    </row>
    <row r="22" spans="1:4" x14ac:dyDescent="0.35">
      <c r="A22" s="27" t="s">
        <v>133</v>
      </c>
      <c r="B22" s="27" t="s">
        <v>136</v>
      </c>
      <c r="C22" s="27" t="s">
        <v>137</v>
      </c>
      <c r="D22" s="28"/>
    </row>
    <row r="23" spans="1:4" x14ac:dyDescent="0.35">
      <c r="A23" s="29" t="s">
        <v>115</v>
      </c>
      <c r="B23" s="35">
        <f>forecast!B23</f>
        <v>6925.7490000000007</v>
      </c>
      <c r="C23" s="35"/>
      <c r="D23" s="28"/>
    </row>
    <row r="24" spans="1:4" x14ac:dyDescent="0.35">
      <c r="A24" s="29" t="s">
        <v>116</v>
      </c>
      <c r="B24" s="35">
        <f>forecast!C23</f>
        <v>6921.8259999999991</v>
      </c>
      <c r="C24" s="35"/>
      <c r="D24" s="28"/>
    </row>
    <row r="25" spans="1:4" x14ac:dyDescent="0.35">
      <c r="A25" s="29" t="s">
        <v>111</v>
      </c>
      <c r="B25" s="35">
        <f>forecast!$D$23</f>
        <v>9461.0529999999999</v>
      </c>
      <c r="C25" s="35">
        <f>forecast!$D$23</f>
        <v>9461.0529999999999</v>
      </c>
      <c r="D25" s="28"/>
    </row>
    <row r="26" spans="1:4" x14ac:dyDescent="0.35">
      <c r="A26" s="29" t="s">
        <v>99</v>
      </c>
      <c r="B26" s="36"/>
      <c r="C26" s="35">
        <f>forecast!E23</f>
        <v>12500</v>
      </c>
      <c r="D26" s="28"/>
    </row>
    <row r="27" spans="1:4" x14ac:dyDescent="0.35">
      <c r="A27" s="29" t="s">
        <v>100</v>
      </c>
      <c r="B27" s="36"/>
      <c r="C27" s="35">
        <f>forecast!F23</f>
        <v>14269.875865905</v>
      </c>
      <c r="D27" s="28"/>
    </row>
    <row r="28" spans="1:4" x14ac:dyDescent="0.35">
      <c r="A28" s="29" t="s">
        <v>101</v>
      </c>
      <c r="B28" s="36"/>
      <c r="C28" s="35">
        <f>forecast!G23</f>
        <v>16010.800721545411</v>
      </c>
      <c r="D28" s="28"/>
    </row>
    <row r="29" spans="1:4" x14ac:dyDescent="0.35">
      <c r="D29" s="28"/>
    </row>
    <row r="30" spans="1:4" x14ac:dyDescent="0.35">
      <c r="D30" s="28"/>
    </row>
    <row r="31" spans="1:4" ht="43.5" x14ac:dyDescent="0.35">
      <c r="A31" s="29" t="s">
        <v>141</v>
      </c>
      <c r="D31" s="28"/>
    </row>
    <row r="32" spans="1:4" ht="29" x14ac:dyDescent="0.35">
      <c r="A32" s="27" t="s">
        <v>134</v>
      </c>
      <c r="B32" s="27" t="s">
        <v>120</v>
      </c>
      <c r="C32" s="27" t="s">
        <v>121</v>
      </c>
      <c r="D32" s="27" t="s">
        <v>122</v>
      </c>
    </row>
    <row r="33" spans="1:4" x14ac:dyDescent="0.35">
      <c r="A33" s="29" t="s">
        <v>1</v>
      </c>
      <c r="B33" s="35">
        <f>scenarios!B18</f>
        <v>59705.672546744405</v>
      </c>
      <c r="C33" s="35">
        <f>scenarios!C18</f>
        <v>62787.453809982006</v>
      </c>
      <c r="D33" s="35">
        <f>scenarios!D18</f>
        <v>65946.023642901608</v>
      </c>
    </row>
    <row r="34" spans="1:4" ht="29" x14ac:dyDescent="0.35">
      <c r="A34" s="29" t="s">
        <v>6</v>
      </c>
      <c r="B34" s="35">
        <f>scenarios!B19</f>
        <v>18210.230126757044</v>
      </c>
      <c r="C34" s="35">
        <f>scenarios!C19</f>
        <v>21284.946841583904</v>
      </c>
      <c r="D34" s="35">
        <f>scenarios!D19</f>
        <v>23410.838393230071</v>
      </c>
    </row>
    <row r="35" spans="1:4" ht="43.5" x14ac:dyDescent="0.35">
      <c r="A35" s="29" t="s">
        <v>16</v>
      </c>
      <c r="B35" s="35">
        <f>scenarios!B20</f>
        <v>13732.304685751214</v>
      </c>
      <c r="C35" s="35">
        <f>scenarios!C20</f>
        <v>16010.800721545411</v>
      </c>
      <c r="D35" s="35">
        <f>scenarios!D20</f>
        <v>18135.156501797945</v>
      </c>
    </row>
    <row r="36" spans="1:4" x14ac:dyDescent="0.35">
      <c r="D36" s="28"/>
    </row>
    <row r="37" spans="1:4" x14ac:dyDescent="0.35">
      <c r="D37" s="28"/>
    </row>
    <row r="38" spans="1:4" x14ac:dyDescent="0.35">
      <c r="A38" s="28"/>
      <c r="B38" s="28"/>
      <c r="C38" s="28"/>
      <c r="D38" s="28"/>
    </row>
    <row r="39" spans="1:4" x14ac:dyDescent="0.35">
      <c r="A39" s="28"/>
      <c r="B39" s="28"/>
      <c r="C39" s="28"/>
      <c r="D39" s="28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20B96-E540-48FD-8A7E-7BB063EEBA43}">
  <dimension ref="A1:O51"/>
  <sheetViews>
    <sheetView showGridLines="0" tabSelected="1" zoomScale="83" zoomScaleNormal="47" workbookViewId="0">
      <selection activeCell="M26" sqref="M26"/>
    </sheetView>
  </sheetViews>
  <sheetFormatPr defaultRowHeight="14.5" x14ac:dyDescent="0.35"/>
  <cols>
    <col min="1" max="1" width="17" bestFit="1" customWidth="1"/>
    <col min="2" max="2" width="11.453125" customWidth="1"/>
    <col min="3" max="3" width="11.90625" customWidth="1"/>
    <col min="4" max="4" width="14.81640625" customWidth="1"/>
    <col min="5" max="5" width="10.26953125" bestFit="1" customWidth="1"/>
  </cols>
  <sheetData>
    <row r="1" spans="1:8" ht="23.5" x14ac:dyDescent="0.55000000000000004">
      <c r="A1" s="33" t="s">
        <v>135</v>
      </c>
    </row>
    <row r="2" spans="1:8" x14ac:dyDescent="0.35">
      <c r="A2" t="s">
        <v>131</v>
      </c>
      <c r="G2" s="1"/>
      <c r="H2" s="3"/>
    </row>
    <row r="3" spans="1:8" x14ac:dyDescent="0.35">
      <c r="G3" s="4"/>
      <c r="H3" s="11"/>
    </row>
    <row r="4" spans="1:8" x14ac:dyDescent="0.35">
      <c r="G4" s="4"/>
      <c r="H4" s="11"/>
    </row>
    <row r="5" spans="1:8" x14ac:dyDescent="0.35">
      <c r="A5" s="34" t="s">
        <v>132</v>
      </c>
      <c r="B5" s="34" t="s">
        <v>111</v>
      </c>
      <c r="C5" s="34" t="s">
        <v>101</v>
      </c>
      <c r="E5" s="6" t="s">
        <v>143</v>
      </c>
      <c r="G5" s="4"/>
      <c r="H5" s="11"/>
    </row>
    <row r="6" spans="1:8" x14ac:dyDescent="0.35">
      <c r="A6" s="40" t="s">
        <v>139</v>
      </c>
      <c r="B6" s="38">
        <f>forecast!D2/1000</f>
        <v>45.183036000000001</v>
      </c>
      <c r="C6" s="38">
        <f>forecast!G2/1000</f>
        <v>62.787453809982004</v>
      </c>
      <c r="E6" s="37"/>
      <c r="G6" s="4"/>
      <c r="H6" s="11"/>
    </row>
    <row r="7" spans="1:8" x14ac:dyDescent="0.35">
      <c r="A7" s="40" t="s">
        <v>43</v>
      </c>
      <c r="B7" s="39">
        <f>forecast!D11</f>
        <v>0.29494704605507249</v>
      </c>
      <c r="C7" s="39">
        <f>forecast!G11</f>
        <v>0.33900000000000008</v>
      </c>
      <c r="E7" s="37" t="s">
        <v>144</v>
      </c>
      <c r="G7" s="4"/>
      <c r="H7" s="11"/>
    </row>
    <row r="8" spans="1:8" x14ac:dyDescent="0.35">
      <c r="A8" s="40" t="s">
        <v>44</v>
      </c>
      <c r="B8" s="39">
        <f>forecast!D17</f>
        <v>0.24303813935832022</v>
      </c>
      <c r="C8" s="39">
        <f>forecast!G17</f>
        <v>0.28384498288644816</v>
      </c>
      <c r="E8" s="37" t="s">
        <v>145</v>
      </c>
      <c r="G8" s="4"/>
      <c r="H8" s="11"/>
    </row>
    <row r="9" spans="1:8" ht="29" customHeight="1" x14ac:dyDescent="0.35">
      <c r="A9" s="40" t="s">
        <v>140</v>
      </c>
      <c r="B9" s="38">
        <f>forecast!D23/1000</f>
        <v>9.4610529999999997</v>
      </c>
      <c r="C9" s="38">
        <f>forecast!G23/1000</f>
        <v>16.010800721545412</v>
      </c>
      <c r="E9" s="37" t="s">
        <v>146</v>
      </c>
    </row>
    <row r="10" spans="1:8" x14ac:dyDescent="0.35">
      <c r="A10" s="41" t="s">
        <v>45</v>
      </c>
      <c r="B10" s="42">
        <f>forecast!D24</f>
        <v>0.20939391943471883</v>
      </c>
      <c r="C10" s="42">
        <f>forecast!G24</f>
        <v>0.255</v>
      </c>
    </row>
    <row r="11" spans="1:8" x14ac:dyDescent="0.35">
      <c r="A11" s="26"/>
      <c r="B11" s="26"/>
      <c r="C11" s="26"/>
    </row>
    <row r="51" spans="15:15" x14ac:dyDescent="0.35">
      <c r="O51" t="s">
        <v>142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raw_financials</vt:lpstr>
      <vt:lpstr>historical_analysis</vt:lpstr>
      <vt:lpstr>revenue_drivers</vt:lpstr>
      <vt:lpstr>forecast_assumptions</vt:lpstr>
      <vt:lpstr>forecast</vt:lpstr>
      <vt:lpstr>scenarios</vt:lpstr>
      <vt:lpstr>dashboard_data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 Hoffman</dc:creator>
  <cp:lastModifiedBy>Lily Hoffman</cp:lastModifiedBy>
  <dcterms:created xsi:type="dcterms:W3CDTF">2026-08-26T18:21:00Z</dcterms:created>
  <dcterms:modified xsi:type="dcterms:W3CDTF">2026-09-02T22:04:26Z</dcterms:modified>
</cp:coreProperties>
</file>